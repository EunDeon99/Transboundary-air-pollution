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Jackal\Desktop\Master\Leipzig\Thesis\TAP\Data\RQ(1)_monthly\"/>
    </mc:Choice>
  </mc:AlternateContent>
  <xr:revisionPtr revIDLastSave="0" documentId="13_ncr:1_{936840CD-D015-47DC-B606-1A5086A9C8D7}" xr6:coauthVersionLast="47" xr6:coauthVersionMax="47" xr10:uidLastSave="{00000000-0000-0000-0000-000000000000}"/>
  <bookViews>
    <workbookView xWindow="3480" yWindow="-16335" windowWidth="20760" windowHeight="14085" activeTab="3" xr2:uid="{00000000-000D-0000-FFFF-FFFF00000000}"/>
  </bookViews>
  <sheets>
    <sheet name="All Results" sheetId="1" r:id="rId1"/>
    <sheet name="Significant Only" sheetId="2" r:id="rId2"/>
    <sheet name="Results Pivot - Coef+Sig" sheetId="3" r:id="rId3"/>
    <sheet name="Results Pivot - Coef" sheetId="4" r:id="rId4"/>
    <sheet name="Results Pivot - Pval" sheetId="5" r:id="rId5"/>
    <sheet name="Results Pivot - R_sq" sheetId="6" r:id="rId6"/>
    <sheet name="Diagnostics Full" sheetId="7" r:id="rId7"/>
    <sheet name="Diagnostics DW" sheetId="8" r:id="rId8"/>
    <sheet name="Diagnostics BP" sheetId="9" r:id="rId9"/>
    <sheet name="Diagnostics JB" sheetId="10" r:id="rId10"/>
    <sheet name="Diagnostics VIF" sheetId="11" r:id="rId11"/>
    <sheet name="Diagnostic Guide" sheetId="12" r:id="rId12"/>
    <sheet name="Significance Legend" sheetId="13" r:id="rId13"/>
    <sheet name="Summary Statistics" sheetId="14" r:id="rId14"/>
  </sheets>
  <definedNames>
    <definedName name="_xlnm._FilterDatabase" localSheetId="1" hidden="1">'Significant Only'!$A$1:$L$23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3" l="1"/>
  <c r="G20" i="3"/>
  <c r="L2" i="1"/>
</calcChain>
</file>

<file path=xl/sharedStrings.xml><?xml version="1.0" encoding="utf-8"?>
<sst xmlns="http://schemas.openxmlformats.org/spreadsheetml/2006/main" count="1254" uniqueCount="201">
  <si>
    <t>Pollutant</t>
  </si>
  <si>
    <t>Model</t>
  </si>
  <si>
    <t>Period</t>
  </si>
  <si>
    <t>Stratum</t>
  </si>
  <si>
    <t>N_obs</t>
  </si>
  <si>
    <t>Coef</t>
  </si>
  <si>
    <t>StdErr</t>
  </si>
  <si>
    <t>p_value</t>
  </si>
  <si>
    <t>Sig</t>
  </si>
  <si>
    <t>R_squared</t>
  </si>
  <si>
    <t>Adj_R_squared</t>
  </si>
  <si>
    <t>Coef_Sig</t>
  </si>
  <si>
    <t>NOx</t>
  </si>
  <si>
    <t>1A</t>
  </si>
  <si>
    <t>2001-2023</t>
  </si>
  <si>
    <t>Favorable</t>
  </si>
  <si>
    <t>**</t>
  </si>
  <si>
    <t>0.2885**</t>
  </si>
  <si>
    <t>1B</t>
  </si>
  <si>
    <t>0.477**</t>
  </si>
  <si>
    <t>Unfavorable</t>
  </si>
  <si>
    <t>ns</t>
  </si>
  <si>
    <t>-0.116ns</t>
  </si>
  <si>
    <t>-0.0596ns</t>
  </si>
  <si>
    <t>Baseline</t>
  </si>
  <si>
    <t>*</t>
  </si>
  <si>
    <t>0.216*</t>
  </si>
  <si>
    <t>0.2856ns</t>
  </si>
  <si>
    <t>2001-2013</t>
  </si>
  <si>
    <t>0.3623ns</t>
  </si>
  <si>
    <t>0.697ns</t>
  </si>
  <si>
    <t>0.6468ns</t>
  </si>
  <si>
    <t>0.9656ns</t>
  </si>
  <si>
    <t>0.2467ns</t>
  </si>
  <si>
    <t>0.3791ns</t>
  </si>
  <si>
    <t>2014-2023</t>
  </si>
  <si>
    <t>0.3074**</t>
  </si>
  <si>
    <t>0.5366**</t>
  </si>
  <si>
    <t>-0.2573ns</t>
  </si>
  <si>
    <t>-0.1021ns</t>
  </si>
  <si>
    <t>0.1439ns</t>
  </si>
  <si>
    <t>0.2262ns</t>
  </si>
  <si>
    <t>PM10</t>
  </si>
  <si>
    <t>***</t>
  </si>
  <si>
    <t>0.4328***</t>
  </si>
  <si>
    <t>0.6584**</t>
  </si>
  <si>
    <t>0.0356ns</t>
  </si>
  <si>
    <t>0.4511ns</t>
  </si>
  <si>
    <t>0.1663ns</t>
  </si>
  <si>
    <t>0.0984ns</t>
  </si>
  <si>
    <t>0.5453*</t>
  </si>
  <si>
    <t>1.6567***</t>
  </si>
  <si>
    <t>-0.9729*</t>
  </si>
  <si>
    <t>0.2769ns</t>
  </si>
  <si>
    <t>0.1529ns</t>
  </si>
  <si>
    <t>0.7637*</t>
  </si>
  <si>
    <t>0.5791***</t>
  </si>
  <si>
    <t>0.6146**</t>
  </si>
  <si>
    <t>0.8869ns</t>
  </si>
  <si>
    <t>0.4478ns</t>
  </si>
  <si>
    <t>0.1412ns</t>
  </si>
  <si>
    <t>0.0168ns</t>
  </si>
  <si>
    <t>SO2</t>
  </si>
  <si>
    <t>0.2223ns</t>
  </si>
  <si>
    <t>0.5262*</t>
  </si>
  <si>
    <t>0.2219ns</t>
  </si>
  <si>
    <t>0.1993ns</t>
  </si>
  <si>
    <t>0.3226*</t>
  </si>
  <si>
    <t>0.3116**</t>
  </si>
  <si>
    <t>0.8687**</t>
  </si>
  <si>
    <t>1.0575***</t>
  </si>
  <si>
    <t>0.8788ns</t>
  </si>
  <si>
    <t>0.7408**</t>
  </si>
  <si>
    <t>0.6492***</t>
  </si>
  <si>
    <t>0.5173**</t>
  </si>
  <si>
    <t>-0.1375ns</t>
  </si>
  <si>
    <t>0.2806ns</t>
  </si>
  <si>
    <t>-1.11**</t>
  </si>
  <si>
    <t>-0.2257ns</t>
  </si>
  <si>
    <t>-0.0365ns</t>
  </si>
  <si>
    <t>0.1503ns</t>
  </si>
  <si>
    <t>DW_stat</t>
  </si>
  <si>
    <t>DW_interp</t>
  </si>
  <si>
    <t>VIF_PRD</t>
  </si>
  <si>
    <t>BP_stat</t>
  </si>
  <si>
    <t>BP_p</t>
  </si>
  <si>
    <t>Heterosked</t>
  </si>
  <si>
    <t>JB_stat</t>
  </si>
  <si>
    <t>JB_p</t>
  </si>
  <si>
    <t>Normality</t>
  </si>
  <si>
    <t>Negative autocorr</t>
  </si>
  <si>
    <t>No</t>
  </si>
  <si>
    <t>Yes</t>
  </si>
  <si>
    <t>No autocorr</t>
  </si>
  <si>
    <t>Test</t>
  </si>
  <si>
    <t>What it tests</t>
  </si>
  <si>
    <t>Good value</t>
  </si>
  <si>
    <t>Interpretation</t>
  </si>
  <si>
    <t>How HAC SE handles it</t>
  </si>
  <si>
    <t>Durbin-Watson (DW)</t>
  </si>
  <si>
    <t>Autocorrelation in residuals</t>
  </si>
  <si>
    <t>~2.0</t>
  </si>
  <si>
    <t>DW~2: no autocorr | &lt;1.5: positive | &gt;2.5: negative</t>
  </si>
  <si>
    <t>Newey-West HAC corrects for autocorr</t>
  </si>
  <si>
    <t>Breusch-Pagan (BP)</t>
  </si>
  <si>
    <t>Heteroskedasticity (unequal variance)</t>
  </si>
  <si>
    <t>p &gt; 0.05</t>
  </si>
  <si>
    <t>p&gt;0.05: homoskedastic (constant variance)</t>
  </si>
  <si>
    <t>HAC robust to heteroskedasticity</t>
  </si>
  <si>
    <t>Jarque-Bera (JB)</t>
  </si>
  <si>
    <t>Normality of residuals</t>
  </si>
  <si>
    <t>p&gt;0.05: normally distributed</t>
  </si>
  <si>
    <t>Large N (552) makes less critical</t>
  </si>
  <si>
    <t>VIF</t>
  </si>
  <si>
    <t>Multicollinearity among predictors</t>
  </si>
  <si>
    <t>&lt; 5</t>
  </si>
  <si>
    <t>VIF&lt;5: low multicollinearity</t>
  </si>
  <si>
    <t>Fixed effects partially control this</t>
  </si>
  <si>
    <t>Symbol</t>
  </si>
  <si>
    <t>P-value Range</t>
  </si>
  <si>
    <t>p &lt; 0.01</t>
  </si>
  <si>
    <t>Highly significant (1% level)</t>
  </si>
  <si>
    <t>p &lt; 0.05</t>
  </si>
  <si>
    <t>Significant (5% level)</t>
  </si>
  <si>
    <t>p &lt; 0.10</t>
  </si>
  <si>
    <t>Marginally significant (10% level)</t>
  </si>
  <si>
    <t>p &gt;= 0.10</t>
  </si>
  <si>
    <t>Not significant</t>
  </si>
  <si>
    <t>Metric</t>
  </si>
  <si>
    <t>Value</t>
  </si>
  <si>
    <t>Total Regressions</t>
  </si>
  <si>
    <t>Significant Results (p&lt;0.10)</t>
  </si>
  <si>
    <t>% Significant</t>
  </si>
  <si>
    <t>40.7%</t>
  </si>
  <si>
    <t>Mean R²</t>
  </si>
  <si>
    <t>0.8692</t>
  </si>
  <si>
    <t>Mean Adj R²</t>
  </si>
  <si>
    <t>0.8186</t>
  </si>
  <si>
    <t>Mean DW</t>
  </si>
  <si>
    <t>2.110</t>
  </si>
  <si>
    <t>DW: No Autocorr (%)</t>
  </si>
  <si>
    <t>90.7%</t>
  </si>
  <si>
    <t>Mean VIF</t>
  </si>
  <si>
    <t>1.1346</t>
  </si>
  <si>
    <t>VIF &lt; 5 (%)</t>
  </si>
  <si>
    <t>100.0%</t>
  </si>
  <si>
    <t>Heteroskedasticity (Yes %)</t>
  </si>
  <si>
    <t>9.3%</t>
  </si>
  <si>
    <t>Normality (Yes %)</t>
  </si>
  <si>
    <t>74.1%</t>
  </si>
  <si>
    <t>Findings: Unfavorable conditions elasticity of PRD impact to HK increase post 2013, 1 unit of emission from PRD results in larger impact to HK air quality; while 1 uni f of local emissions result in lower impact to HK air quality post 2013</t>
  </si>
  <si>
    <t xml:space="preserve">For PM10 and NOx, the impact from PRD (underfavorable conditions) was during 2001-2013 was larger than that post 2013. </t>
  </si>
  <si>
    <t>0.247ns</t>
  </si>
  <si>
    <t>0.362ns</t>
  </si>
  <si>
    <t>0.647ns</t>
  </si>
  <si>
    <t>0.144ns</t>
  </si>
  <si>
    <t>0.307**</t>
  </si>
  <si>
    <t>-0.257ns</t>
  </si>
  <si>
    <t>0.286ns</t>
  </si>
  <si>
    <t>-0.060ns</t>
  </si>
  <si>
    <t>0.379ns</t>
  </si>
  <si>
    <t>0.966ns</t>
  </si>
  <si>
    <t>0.226ns</t>
  </si>
  <si>
    <t>0.537**</t>
  </si>
  <si>
    <t>-0.102ns</t>
  </si>
  <si>
    <t>0.166ns</t>
  </si>
  <si>
    <t>0.433***</t>
  </si>
  <si>
    <t>0.036ns</t>
  </si>
  <si>
    <t>0.153ns</t>
  </si>
  <si>
    <t>0.545*</t>
  </si>
  <si>
    <t>-0.973*</t>
  </si>
  <si>
    <t>0.141ns</t>
  </si>
  <si>
    <t>0.579***</t>
  </si>
  <si>
    <t>0.887ns</t>
  </si>
  <si>
    <t>0.098ns</t>
  </si>
  <si>
    <t>0.658**</t>
  </si>
  <si>
    <t>0.451ns</t>
  </si>
  <si>
    <t>0.764*</t>
  </si>
  <si>
    <t>1.657***</t>
  </si>
  <si>
    <t>0.277ns</t>
  </si>
  <si>
    <t>0.017ns</t>
  </si>
  <si>
    <t>0.615**</t>
  </si>
  <si>
    <t>0.448ns</t>
  </si>
  <si>
    <t>0.323*</t>
  </si>
  <si>
    <t>0.222ns</t>
  </si>
  <si>
    <t>0.312**</t>
  </si>
  <si>
    <t>0.526*</t>
  </si>
  <si>
    <t>0.199ns</t>
  </si>
  <si>
    <t>0.649***</t>
  </si>
  <si>
    <t>0.869**</t>
  </si>
  <si>
    <t>0.879ns</t>
  </si>
  <si>
    <t>-0.037ns</t>
  </si>
  <si>
    <t>-0.138ns</t>
  </si>
  <si>
    <t>-1.110**</t>
  </si>
  <si>
    <t>0.517**</t>
  </si>
  <si>
    <t>1.058***</t>
  </si>
  <si>
    <t>0.741**</t>
  </si>
  <si>
    <t>0.150ns</t>
  </si>
  <si>
    <t>0.281ns</t>
  </si>
  <si>
    <t>-0.226ns</t>
  </si>
  <si>
    <t>0.289**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</si>
</sst>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/>
    <xf numFmtId="165" fontId="0" fillId="0" borderId="0" xfId="0" applyNumberFormat="1"/>
    <xf numFmtId="0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5"/>
  <sheetViews>
    <sheetView workbookViewId="0">
      <selection activeCell="H5" sqref="H5"/>
    </sheetView>
  </sheetViews>
  <sheetFormatPr defaultRowHeight="14.5" x14ac:dyDescent="0.35"/>
  <cols>
    <col min="4" max="4" width="17.6328125" customWidth="1"/>
    <col min="6" max="6" width="8.7265625" style="3"/>
    <col min="13" max="13" width="8.7265625" style="4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4" t="s">
        <v>5</v>
      </c>
    </row>
    <row r="2" spans="1:13" x14ac:dyDescent="0.35">
      <c r="A2" t="s">
        <v>12</v>
      </c>
      <c r="B2" t="s">
        <v>13</v>
      </c>
      <c r="C2" t="s">
        <v>14</v>
      </c>
      <c r="D2" t="s">
        <v>15</v>
      </c>
      <c r="E2">
        <v>118</v>
      </c>
      <c r="F2" s="3">
        <v>0.28854917688948412</v>
      </c>
      <c r="G2">
        <v>0.13145858570377339</v>
      </c>
      <c r="H2">
        <v>2.8164917597274339E-2</v>
      </c>
      <c r="I2" t="s">
        <v>16</v>
      </c>
      <c r="J2">
        <v>0.95820938013756629</v>
      </c>
      <c r="K2">
        <v>0.94109033103729223</v>
      </c>
      <c r="L2" t="str">
        <f>F2&amp;" "&amp;I2</f>
        <v>0.288549176889484 **</v>
      </c>
      <c r="M2" s="4">
        <v>0.288549176889484</v>
      </c>
    </row>
    <row r="3" spans="1:13" x14ac:dyDescent="0.35">
      <c r="A3" t="s">
        <v>12</v>
      </c>
      <c r="B3" t="s">
        <v>18</v>
      </c>
      <c r="C3" t="s">
        <v>14</v>
      </c>
      <c r="D3" t="s">
        <v>15</v>
      </c>
      <c r="E3">
        <v>118</v>
      </c>
      <c r="F3" s="3">
        <v>0.47704761252786332</v>
      </c>
      <c r="G3">
        <v>0.2077928989759143</v>
      </c>
      <c r="H3">
        <v>2.1688234792893189E-2</v>
      </c>
      <c r="I3" t="s">
        <v>16</v>
      </c>
      <c r="J3">
        <v>0.95863468955856512</v>
      </c>
      <c r="K3">
        <v>0.94168986359460383</v>
      </c>
      <c r="L3" t="s">
        <v>19</v>
      </c>
      <c r="M3" s="4">
        <v>0.47704761252786299</v>
      </c>
    </row>
    <row r="4" spans="1:13" x14ac:dyDescent="0.35">
      <c r="A4" t="s">
        <v>12</v>
      </c>
      <c r="B4" t="s">
        <v>13</v>
      </c>
      <c r="C4" t="s">
        <v>14</v>
      </c>
      <c r="D4" t="s">
        <v>20</v>
      </c>
      <c r="E4">
        <v>158</v>
      </c>
      <c r="F4" s="3">
        <v>-0.1159889413781281</v>
      </c>
      <c r="G4">
        <v>0.31510733800207869</v>
      </c>
      <c r="H4">
        <v>0.71280356839614067</v>
      </c>
      <c r="I4" t="s">
        <v>21</v>
      </c>
      <c r="J4">
        <v>0.8922034970493351</v>
      </c>
      <c r="K4">
        <v>0.86013181022103813</v>
      </c>
      <c r="L4" t="s">
        <v>22</v>
      </c>
      <c r="M4" s="4">
        <v>-0.1159889413781281</v>
      </c>
    </row>
    <row r="5" spans="1:13" x14ac:dyDescent="0.35">
      <c r="A5" t="s">
        <v>12</v>
      </c>
      <c r="B5" t="s">
        <v>18</v>
      </c>
      <c r="C5" t="s">
        <v>14</v>
      </c>
      <c r="D5" t="s">
        <v>20</v>
      </c>
      <c r="E5">
        <v>158</v>
      </c>
      <c r="F5" s="3">
        <v>-5.960780054772874E-2</v>
      </c>
      <c r="G5">
        <v>0.34666705990694369</v>
      </c>
      <c r="H5">
        <v>0.86348046703892578</v>
      </c>
      <c r="I5" t="s">
        <v>21</v>
      </c>
      <c r="J5">
        <v>0.89212236032398728</v>
      </c>
      <c r="K5">
        <v>0.86002653364352066</v>
      </c>
      <c r="L5" t="s">
        <v>23</v>
      </c>
      <c r="M5" s="4">
        <v>-5.960780054772874E-2</v>
      </c>
    </row>
    <row r="6" spans="1:13" x14ac:dyDescent="0.35">
      <c r="A6" t="s">
        <v>12</v>
      </c>
      <c r="B6" t="s">
        <v>13</v>
      </c>
      <c r="C6" t="s">
        <v>14</v>
      </c>
      <c r="D6" t="s">
        <v>24</v>
      </c>
      <c r="E6">
        <v>276</v>
      </c>
      <c r="F6" s="3">
        <v>0.21599921447745901</v>
      </c>
      <c r="G6">
        <v>0.1271790626043412</v>
      </c>
      <c r="H6">
        <v>8.9434821369187262E-2</v>
      </c>
      <c r="I6" t="s">
        <v>25</v>
      </c>
      <c r="J6">
        <v>0.91349822893382071</v>
      </c>
      <c r="K6">
        <v>0.8996287466531675</v>
      </c>
      <c r="L6" t="s">
        <v>26</v>
      </c>
      <c r="M6" s="4">
        <v>0.21599921447745901</v>
      </c>
    </row>
    <row r="7" spans="1:13" x14ac:dyDescent="0.35">
      <c r="A7" t="s">
        <v>12</v>
      </c>
      <c r="B7" t="s">
        <v>18</v>
      </c>
      <c r="C7" t="s">
        <v>14</v>
      </c>
      <c r="D7" t="s">
        <v>24</v>
      </c>
      <c r="E7">
        <v>276</v>
      </c>
      <c r="F7" s="3">
        <v>0.28555287419489939</v>
      </c>
      <c r="G7">
        <v>0.18132526546219349</v>
      </c>
      <c r="H7">
        <v>0.11530026561157659</v>
      </c>
      <c r="I7" t="s">
        <v>21</v>
      </c>
      <c r="J7">
        <v>0.91346352061903646</v>
      </c>
      <c r="K7">
        <v>0.89958847329213087</v>
      </c>
      <c r="L7" t="s">
        <v>27</v>
      </c>
      <c r="M7" s="4">
        <v>0.28555287419489939</v>
      </c>
    </row>
    <row r="8" spans="1:13" x14ac:dyDescent="0.35">
      <c r="A8" t="s">
        <v>12</v>
      </c>
      <c r="B8" t="s">
        <v>13</v>
      </c>
      <c r="C8" t="s">
        <v>28</v>
      </c>
      <c r="D8" t="s">
        <v>15</v>
      </c>
      <c r="E8">
        <v>65</v>
      </c>
      <c r="F8" s="3">
        <v>0.36231408596011921</v>
      </c>
      <c r="G8">
        <v>0.33657670854568078</v>
      </c>
      <c r="H8">
        <v>0.28171796544906608</v>
      </c>
      <c r="I8" t="s">
        <v>21</v>
      </c>
      <c r="J8">
        <v>0.73720372253354571</v>
      </c>
      <c r="K8">
        <v>0.58978142054016891</v>
      </c>
      <c r="L8" t="s">
        <v>29</v>
      </c>
      <c r="M8" s="4">
        <v>0.36231408596011921</v>
      </c>
    </row>
    <row r="9" spans="1:13" x14ac:dyDescent="0.35">
      <c r="A9" t="s">
        <v>12</v>
      </c>
      <c r="B9" t="s">
        <v>18</v>
      </c>
      <c r="C9" t="s">
        <v>28</v>
      </c>
      <c r="D9" t="s">
        <v>15</v>
      </c>
      <c r="E9">
        <v>65</v>
      </c>
      <c r="F9" s="3">
        <v>0.69703259097010561</v>
      </c>
      <c r="G9">
        <v>0.43707127169290177</v>
      </c>
      <c r="H9">
        <v>0.1107614060200359</v>
      </c>
      <c r="I9" t="s">
        <v>21</v>
      </c>
      <c r="J9">
        <v>0.74431968054352649</v>
      </c>
      <c r="K9">
        <v>0.6008892574337974</v>
      </c>
      <c r="L9" t="s">
        <v>30</v>
      </c>
      <c r="M9" s="4">
        <v>0.69703259097010561</v>
      </c>
    </row>
    <row r="10" spans="1:13" x14ac:dyDescent="0.35">
      <c r="A10" t="s">
        <v>12</v>
      </c>
      <c r="B10" t="s">
        <v>13</v>
      </c>
      <c r="C10" t="s">
        <v>28</v>
      </c>
      <c r="D10" t="s">
        <v>20</v>
      </c>
      <c r="E10">
        <v>91</v>
      </c>
      <c r="F10" s="3">
        <v>0.64681239187136397</v>
      </c>
      <c r="G10">
        <v>0.46555178074086151</v>
      </c>
      <c r="H10">
        <v>0.1647276357648855</v>
      </c>
      <c r="I10" t="s">
        <v>21</v>
      </c>
      <c r="J10">
        <v>0.5804851381509637</v>
      </c>
      <c r="K10">
        <v>0.41005722552479268</v>
      </c>
      <c r="L10" t="s">
        <v>31</v>
      </c>
      <c r="M10" s="4">
        <v>0.64681239187136397</v>
      </c>
    </row>
    <row r="11" spans="1:13" x14ac:dyDescent="0.35">
      <c r="A11" t="s">
        <v>12</v>
      </c>
      <c r="B11" t="s">
        <v>18</v>
      </c>
      <c r="C11" t="s">
        <v>28</v>
      </c>
      <c r="D11" t="s">
        <v>20</v>
      </c>
      <c r="E11">
        <v>91</v>
      </c>
      <c r="F11" s="3">
        <v>0.96560357843638522</v>
      </c>
      <c r="G11">
        <v>0.58883203189716582</v>
      </c>
      <c r="H11">
        <v>0.10103375575414229</v>
      </c>
      <c r="I11" t="s">
        <v>21</v>
      </c>
      <c r="J11">
        <v>0.58540120620455416</v>
      </c>
      <c r="K11">
        <v>0.41697044622515428</v>
      </c>
      <c r="L11" t="s">
        <v>32</v>
      </c>
      <c r="M11" s="4">
        <v>0.96560357843638522</v>
      </c>
    </row>
    <row r="12" spans="1:13" x14ac:dyDescent="0.35">
      <c r="A12" t="s">
        <v>12</v>
      </c>
      <c r="B12" t="s">
        <v>13</v>
      </c>
      <c r="C12" t="s">
        <v>28</v>
      </c>
      <c r="D12" t="s">
        <v>24</v>
      </c>
      <c r="E12">
        <v>156</v>
      </c>
      <c r="F12" s="3">
        <v>0.24672683458532421</v>
      </c>
      <c r="G12">
        <v>0.25972334498926258</v>
      </c>
      <c r="H12">
        <v>0.34213248816240233</v>
      </c>
      <c r="I12" t="s">
        <v>21</v>
      </c>
      <c r="J12">
        <v>0.69122077422328221</v>
      </c>
      <c r="K12">
        <v>0.62314346460321834</v>
      </c>
      <c r="L12" t="s">
        <v>33</v>
      </c>
      <c r="M12" s="4">
        <v>0.24672683458532421</v>
      </c>
    </row>
    <row r="13" spans="1:13" x14ac:dyDescent="0.35">
      <c r="A13" t="s">
        <v>12</v>
      </c>
      <c r="B13" t="s">
        <v>18</v>
      </c>
      <c r="C13" t="s">
        <v>28</v>
      </c>
      <c r="D13" t="s">
        <v>24</v>
      </c>
      <c r="E13">
        <v>156</v>
      </c>
      <c r="F13" s="3">
        <v>0.37909281569568382</v>
      </c>
      <c r="G13">
        <v>0.36369090531368292</v>
      </c>
      <c r="H13">
        <v>0.29724994786882042</v>
      </c>
      <c r="I13" t="s">
        <v>21</v>
      </c>
      <c r="J13">
        <v>0.69191828357043561</v>
      </c>
      <c r="K13">
        <v>0.62399475553872064</v>
      </c>
      <c r="L13" t="s">
        <v>34</v>
      </c>
      <c r="M13" s="4">
        <v>0.37909281569568382</v>
      </c>
    </row>
    <row r="14" spans="1:13" x14ac:dyDescent="0.35">
      <c r="A14" t="s">
        <v>12</v>
      </c>
      <c r="B14" t="s">
        <v>13</v>
      </c>
      <c r="C14" t="s">
        <v>35</v>
      </c>
      <c r="D14" t="s">
        <v>15</v>
      </c>
      <c r="E14">
        <v>53</v>
      </c>
      <c r="F14" s="3">
        <v>0.30744178245206832</v>
      </c>
      <c r="G14">
        <v>0.13226387302672801</v>
      </c>
      <c r="H14">
        <v>2.0100974391982721E-2</v>
      </c>
      <c r="I14" t="s">
        <v>16</v>
      </c>
      <c r="J14">
        <v>0.9310281514242833</v>
      </c>
      <c r="K14">
        <v>0.88792074606446036</v>
      </c>
      <c r="L14" t="s">
        <v>36</v>
      </c>
      <c r="M14" s="4">
        <v>0.30744178245206832</v>
      </c>
    </row>
    <row r="15" spans="1:13" x14ac:dyDescent="0.35">
      <c r="A15" t="s">
        <v>12</v>
      </c>
      <c r="B15" t="s">
        <v>18</v>
      </c>
      <c r="C15" t="s">
        <v>35</v>
      </c>
      <c r="D15" t="s">
        <v>15</v>
      </c>
      <c r="E15">
        <v>53</v>
      </c>
      <c r="F15" s="3">
        <v>0.53659973340029699</v>
      </c>
      <c r="G15">
        <v>0.2287108301513972</v>
      </c>
      <c r="H15">
        <v>1.8966287016990512E-2</v>
      </c>
      <c r="I15" t="s">
        <v>16</v>
      </c>
      <c r="J15">
        <v>0.93235250735582809</v>
      </c>
      <c r="K15">
        <v>0.89007282445322067</v>
      </c>
      <c r="L15" t="s">
        <v>37</v>
      </c>
      <c r="M15" s="4">
        <v>0.53659973340029699</v>
      </c>
    </row>
    <row r="16" spans="1:13" x14ac:dyDescent="0.35">
      <c r="A16" t="s">
        <v>12</v>
      </c>
      <c r="B16" t="s">
        <v>13</v>
      </c>
      <c r="C16" t="s">
        <v>35</v>
      </c>
      <c r="D16" t="s">
        <v>20</v>
      </c>
      <c r="E16">
        <v>67</v>
      </c>
      <c r="F16" s="3">
        <v>-0.25732171470627468</v>
      </c>
      <c r="G16">
        <v>0.32147506643325963</v>
      </c>
      <c r="H16">
        <v>0.42345553056962942</v>
      </c>
      <c r="I16" t="s">
        <v>21</v>
      </c>
      <c r="J16">
        <v>0.88075597122113014</v>
      </c>
      <c r="K16">
        <v>0.81697428140917649</v>
      </c>
      <c r="L16" t="s">
        <v>38</v>
      </c>
      <c r="M16" s="4">
        <v>-0.25732171470627468</v>
      </c>
    </row>
    <row r="17" spans="1:13" x14ac:dyDescent="0.35">
      <c r="A17" t="s">
        <v>12</v>
      </c>
      <c r="B17" t="s">
        <v>18</v>
      </c>
      <c r="C17" t="s">
        <v>35</v>
      </c>
      <c r="D17" t="s">
        <v>20</v>
      </c>
      <c r="E17">
        <v>67</v>
      </c>
      <c r="F17" s="3">
        <v>-0.10209845963061109</v>
      </c>
      <c r="G17">
        <v>0.36879032691829827</v>
      </c>
      <c r="H17">
        <v>0.78189766524496107</v>
      </c>
      <c r="I17" t="s">
        <v>21</v>
      </c>
      <c r="J17">
        <v>0.88017227363551198</v>
      </c>
      <c r="K17">
        <v>0.81607837348706491</v>
      </c>
      <c r="L17" t="s">
        <v>39</v>
      </c>
      <c r="M17" s="4">
        <v>-0.10209845963061109</v>
      </c>
    </row>
    <row r="18" spans="1:13" x14ac:dyDescent="0.35">
      <c r="A18" t="s">
        <v>12</v>
      </c>
      <c r="B18" t="s">
        <v>13</v>
      </c>
      <c r="C18" t="s">
        <v>35</v>
      </c>
      <c r="D18" t="s">
        <v>24</v>
      </c>
      <c r="E18">
        <v>120</v>
      </c>
      <c r="F18" s="3">
        <v>0.14394311199561091</v>
      </c>
      <c r="G18">
        <v>0.1439785016691616</v>
      </c>
      <c r="H18">
        <v>0.31742947447623898</v>
      </c>
      <c r="I18" t="s">
        <v>21</v>
      </c>
      <c r="J18">
        <v>0.87833073578014287</v>
      </c>
      <c r="K18">
        <v>0.84597188891315955</v>
      </c>
      <c r="L18" t="s">
        <v>40</v>
      </c>
      <c r="M18" s="4">
        <v>0.14394311199561091</v>
      </c>
    </row>
    <row r="19" spans="1:13" x14ac:dyDescent="0.35">
      <c r="A19" t="s">
        <v>12</v>
      </c>
      <c r="B19" t="s">
        <v>18</v>
      </c>
      <c r="C19" t="s">
        <v>35</v>
      </c>
      <c r="D19" t="s">
        <v>24</v>
      </c>
      <c r="E19">
        <v>120</v>
      </c>
      <c r="F19" s="3">
        <v>0.22620444886227439</v>
      </c>
      <c r="G19">
        <v>0.23214053533967091</v>
      </c>
      <c r="H19">
        <v>0.32984362075927942</v>
      </c>
      <c r="I19" t="s">
        <v>21</v>
      </c>
      <c r="J19">
        <v>0.87841700995675243</v>
      </c>
      <c r="K19">
        <v>0.84608110834950567</v>
      </c>
      <c r="L19" t="s">
        <v>41</v>
      </c>
      <c r="M19" s="4">
        <v>0.22620444886227439</v>
      </c>
    </row>
    <row r="20" spans="1:13" x14ac:dyDescent="0.35">
      <c r="A20" t="s">
        <v>42</v>
      </c>
      <c r="B20" t="s">
        <v>13</v>
      </c>
      <c r="C20" t="s">
        <v>14</v>
      </c>
      <c r="D20" t="s">
        <v>15</v>
      </c>
      <c r="E20">
        <v>118</v>
      </c>
      <c r="F20" s="3">
        <v>0.43275388482879862</v>
      </c>
      <c r="G20">
        <v>0.16150722099584441</v>
      </c>
      <c r="H20">
        <v>7.3738631356239266E-3</v>
      </c>
      <c r="I20" t="s">
        <v>43</v>
      </c>
      <c r="J20">
        <v>0.91289672944042588</v>
      </c>
      <c r="K20">
        <v>0.87721587162084136</v>
      </c>
      <c r="L20" t="s">
        <v>44</v>
      </c>
      <c r="M20" s="4">
        <v>0.43275388482879862</v>
      </c>
    </row>
    <row r="21" spans="1:13" x14ac:dyDescent="0.35">
      <c r="A21" t="s">
        <v>42</v>
      </c>
      <c r="B21" t="s">
        <v>18</v>
      </c>
      <c r="C21" t="s">
        <v>14</v>
      </c>
      <c r="D21" t="s">
        <v>15</v>
      </c>
      <c r="E21">
        <v>118</v>
      </c>
      <c r="F21" s="3">
        <v>0.65844348726874291</v>
      </c>
      <c r="G21">
        <v>0.27075995128967062</v>
      </c>
      <c r="H21">
        <v>1.502255501386739E-2</v>
      </c>
      <c r="I21" t="s">
        <v>16</v>
      </c>
      <c r="J21">
        <v>0.91430803019129048</v>
      </c>
      <c r="K21">
        <v>0.87920529557085525</v>
      </c>
      <c r="L21" t="s">
        <v>45</v>
      </c>
      <c r="M21" s="4">
        <v>0.65844348726874291</v>
      </c>
    </row>
    <row r="22" spans="1:13" x14ac:dyDescent="0.35">
      <c r="A22" t="s">
        <v>42</v>
      </c>
      <c r="B22" t="s">
        <v>13</v>
      </c>
      <c r="C22" t="s">
        <v>14</v>
      </c>
      <c r="D22" t="s">
        <v>20</v>
      </c>
      <c r="E22">
        <v>158</v>
      </c>
      <c r="F22" s="3">
        <v>3.5591317010170487E-2</v>
      </c>
      <c r="G22">
        <v>0.4219007708373288</v>
      </c>
      <c r="H22">
        <v>0.93277064647902408</v>
      </c>
      <c r="I22" t="s">
        <v>21</v>
      </c>
      <c r="J22">
        <v>0.93285388403556402</v>
      </c>
      <c r="K22">
        <v>0.91287652721969881</v>
      </c>
      <c r="L22" t="s">
        <v>46</v>
      </c>
      <c r="M22" s="4">
        <v>3.5591317010170487E-2</v>
      </c>
    </row>
    <row r="23" spans="1:13" x14ac:dyDescent="0.35">
      <c r="A23" t="s">
        <v>42</v>
      </c>
      <c r="B23" t="s">
        <v>18</v>
      </c>
      <c r="C23" t="s">
        <v>14</v>
      </c>
      <c r="D23" t="s">
        <v>20</v>
      </c>
      <c r="E23">
        <v>158</v>
      </c>
      <c r="F23" s="3">
        <v>0.45113908485074461</v>
      </c>
      <c r="G23">
        <v>0.5021348680506581</v>
      </c>
      <c r="H23">
        <v>0.36894992201334742</v>
      </c>
      <c r="I23" t="s">
        <v>21</v>
      </c>
      <c r="J23">
        <v>0.93318369088928155</v>
      </c>
      <c r="K23">
        <v>0.91330445842658847</v>
      </c>
      <c r="L23" t="s">
        <v>47</v>
      </c>
      <c r="M23" s="4">
        <v>0.45113908485074461</v>
      </c>
    </row>
    <row r="24" spans="1:13" x14ac:dyDescent="0.35">
      <c r="A24" t="s">
        <v>42</v>
      </c>
      <c r="B24" t="s">
        <v>13</v>
      </c>
      <c r="C24" t="s">
        <v>14</v>
      </c>
      <c r="D24" t="s">
        <v>24</v>
      </c>
      <c r="E24">
        <v>276</v>
      </c>
      <c r="F24" s="3">
        <v>0.1662716221262287</v>
      </c>
      <c r="G24">
        <v>0.19991000366483599</v>
      </c>
      <c r="H24">
        <v>0.40556002229734711</v>
      </c>
      <c r="I24" t="s">
        <v>21</v>
      </c>
      <c r="J24">
        <v>0.92424800433147614</v>
      </c>
      <c r="K24">
        <v>0.91210211473061575</v>
      </c>
      <c r="L24" t="s">
        <v>48</v>
      </c>
      <c r="M24" s="4">
        <v>0.1662716221262287</v>
      </c>
    </row>
    <row r="25" spans="1:13" x14ac:dyDescent="0.35">
      <c r="A25" t="s">
        <v>42</v>
      </c>
      <c r="B25" t="s">
        <v>18</v>
      </c>
      <c r="C25" t="s">
        <v>14</v>
      </c>
      <c r="D25" t="s">
        <v>24</v>
      </c>
      <c r="E25">
        <v>276</v>
      </c>
      <c r="F25" s="3">
        <v>9.842379704777976E-2</v>
      </c>
      <c r="G25">
        <v>0.28270925353762361</v>
      </c>
      <c r="H25">
        <v>0.72773133312661398</v>
      </c>
      <c r="I25" t="s">
        <v>21</v>
      </c>
      <c r="J25">
        <v>0.92409622065823338</v>
      </c>
      <c r="K25">
        <v>0.91192599443465894</v>
      </c>
      <c r="L25" t="s">
        <v>49</v>
      </c>
      <c r="M25" s="4">
        <v>9.842379704777976E-2</v>
      </c>
    </row>
    <row r="26" spans="1:13" x14ac:dyDescent="0.35">
      <c r="A26" t="s">
        <v>42</v>
      </c>
      <c r="B26" t="s">
        <v>13</v>
      </c>
      <c r="C26" t="s">
        <v>28</v>
      </c>
      <c r="D26" t="s">
        <v>15</v>
      </c>
      <c r="E26">
        <v>65</v>
      </c>
      <c r="F26" s="3">
        <v>0.54528032521113068</v>
      </c>
      <c r="G26">
        <v>0.28065912634191081</v>
      </c>
      <c r="H26">
        <v>5.2033534662067393E-2</v>
      </c>
      <c r="I26" t="s">
        <v>25</v>
      </c>
      <c r="J26">
        <v>0.83908323919917427</v>
      </c>
      <c r="K26">
        <v>0.74881286118895496</v>
      </c>
      <c r="L26" t="s">
        <v>50</v>
      </c>
      <c r="M26" s="4">
        <v>0.54528032521113068</v>
      </c>
    </row>
    <row r="27" spans="1:13" x14ac:dyDescent="0.35">
      <c r="A27" t="s">
        <v>42</v>
      </c>
      <c r="B27" t="s">
        <v>18</v>
      </c>
      <c r="C27" t="s">
        <v>28</v>
      </c>
      <c r="D27" t="s">
        <v>15</v>
      </c>
      <c r="E27">
        <v>65</v>
      </c>
      <c r="F27" s="3">
        <v>1.6566718309686641</v>
      </c>
      <c r="G27">
        <v>0.52795635972737154</v>
      </c>
      <c r="H27">
        <v>1.701655921571578E-3</v>
      </c>
      <c r="I27" t="s">
        <v>43</v>
      </c>
      <c r="J27">
        <v>0.8567511200615987</v>
      </c>
      <c r="K27">
        <v>0.77639199229127598</v>
      </c>
      <c r="L27" t="s">
        <v>51</v>
      </c>
      <c r="M27" s="4">
        <v>1.6566718309686641</v>
      </c>
    </row>
    <row r="28" spans="1:13" x14ac:dyDescent="0.35">
      <c r="A28" t="s">
        <v>42</v>
      </c>
      <c r="B28" t="s">
        <v>13</v>
      </c>
      <c r="C28" t="s">
        <v>28</v>
      </c>
      <c r="D28" t="s">
        <v>20</v>
      </c>
      <c r="E28">
        <v>91</v>
      </c>
      <c r="F28" s="3">
        <v>-0.97292605619007932</v>
      </c>
      <c r="G28">
        <v>0.52659184109959734</v>
      </c>
      <c r="H28">
        <v>6.466161241840572E-2</v>
      </c>
      <c r="I28" t="s">
        <v>25</v>
      </c>
      <c r="J28">
        <v>0.92000923935233225</v>
      </c>
      <c r="K28">
        <v>0.88751299283921725</v>
      </c>
      <c r="L28" t="s">
        <v>52</v>
      </c>
      <c r="M28" s="4">
        <v>-0.97292605619007932</v>
      </c>
    </row>
    <row r="29" spans="1:13" x14ac:dyDescent="0.35">
      <c r="A29" t="s">
        <v>42</v>
      </c>
      <c r="B29" t="s">
        <v>18</v>
      </c>
      <c r="C29" t="s">
        <v>28</v>
      </c>
      <c r="D29" t="s">
        <v>20</v>
      </c>
      <c r="E29">
        <v>91</v>
      </c>
      <c r="F29" s="3">
        <v>0.27686387566246973</v>
      </c>
      <c r="G29">
        <v>0.75376514770999203</v>
      </c>
      <c r="H29">
        <v>0.7133893796182833</v>
      </c>
      <c r="I29" t="s">
        <v>21</v>
      </c>
      <c r="J29">
        <v>0.91795307087006428</v>
      </c>
      <c r="K29">
        <v>0.88462150591102784</v>
      </c>
      <c r="L29" t="s">
        <v>53</v>
      </c>
      <c r="M29" s="4">
        <v>0.27686387566246973</v>
      </c>
    </row>
    <row r="30" spans="1:13" x14ac:dyDescent="0.35">
      <c r="A30" t="s">
        <v>42</v>
      </c>
      <c r="B30" t="s">
        <v>13</v>
      </c>
      <c r="C30" t="s">
        <v>28</v>
      </c>
      <c r="D30" t="s">
        <v>24</v>
      </c>
      <c r="E30">
        <v>156</v>
      </c>
      <c r="F30" s="3">
        <v>0.15291944911369679</v>
      </c>
      <c r="G30">
        <v>0.24789196743336611</v>
      </c>
      <c r="H30">
        <v>0.53731427271036081</v>
      </c>
      <c r="I30" t="s">
        <v>21</v>
      </c>
      <c r="J30">
        <v>0.91532527227100724</v>
      </c>
      <c r="K30">
        <v>0.89665682836225291</v>
      </c>
      <c r="L30" t="s">
        <v>54</v>
      </c>
      <c r="M30" s="4">
        <v>0.15291944911369679</v>
      </c>
    </row>
    <row r="31" spans="1:13" x14ac:dyDescent="0.35">
      <c r="A31" t="s">
        <v>42</v>
      </c>
      <c r="B31" t="s">
        <v>18</v>
      </c>
      <c r="C31" t="s">
        <v>28</v>
      </c>
      <c r="D31" t="s">
        <v>24</v>
      </c>
      <c r="E31">
        <v>156</v>
      </c>
      <c r="F31" s="3">
        <v>0.76370572892595778</v>
      </c>
      <c r="G31">
        <v>0.44541132235458181</v>
      </c>
      <c r="H31">
        <v>8.6417157135835213E-2</v>
      </c>
      <c r="I31" t="s">
        <v>25</v>
      </c>
      <c r="J31">
        <v>0.91663264791401688</v>
      </c>
      <c r="K31">
        <v>0.89825244430450879</v>
      </c>
      <c r="L31" t="s">
        <v>55</v>
      </c>
      <c r="M31" s="4">
        <v>0.76370572892595778</v>
      </c>
    </row>
    <row r="32" spans="1:13" x14ac:dyDescent="0.35">
      <c r="A32" t="s">
        <v>42</v>
      </c>
      <c r="B32" t="s">
        <v>13</v>
      </c>
      <c r="C32" t="s">
        <v>35</v>
      </c>
      <c r="D32" t="s">
        <v>15</v>
      </c>
      <c r="E32">
        <v>53</v>
      </c>
      <c r="F32" s="3">
        <v>0.57906329587954708</v>
      </c>
      <c r="G32">
        <v>0.21936169928064439</v>
      </c>
      <c r="H32">
        <v>8.2963578113708341E-3</v>
      </c>
      <c r="I32" t="s">
        <v>43</v>
      </c>
      <c r="J32">
        <v>0.85095152553628239</v>
      </c>
      <c r="K32">
        <v>0.75779622899645882</v>
      </c>
      <c r="L32" t="s">
        <v>56</v>
      </c>
      <c r="M32" s="4">
        <v>0.57906329587954708</v>
      </c>
    </row>
    <row r="33" spans="1:13" x14ac:dyDescent="0.35">
      <c r="A33" t="s">
        <v>42</v>
      </c>
      <c r="B33" t="s">
        <v>18</v>
      </c>
      <c r="C33" t="s">
        <v>35</v>
      </c>
      <c r="D33" t="s">
        <v>15</v>
      </c>
      <c r="E33">
        <v>53</v>
      </c>
      <c r="F33" s="3">
        <v>0.6146100421878361</v>
      </c>
      <c r="G33">
        <v>0.25304808815678098</v>
      </c>
      <c r="H33">
        <v>1.514775615859288E-2</v>
      </c>
      <c r="I33" t="s">
        <v>16</v>
      </c>
      <c r="J33">
        <v>0.85287265919564559</v>
      </c>
      <c r="K33">
        <v>0.76091807119292409</v>
      </c>
      <c r="L33" t="s">
        <v>57</v>
      </c>
      <c r="M33" s="4">
        <v>0.6146100421878361</v>
      </c>
    </row>
    <row r="34" spans="1:13" x14ac:dyDescent="0.35">
      <c r="A34" t="s">
        <v>42</v>
      </c>
      <c r="B34" t="s">
        <v>13</v>
      </c>
      <c r="C34" t="s">
        <v>35</v>
      </c>
      <c r="D34" t="s">
        <v>20</v>
      </c>
      <c r="E34">
        <v>67</v>
      </c>
      <c r="F34" s="3">
        <v>0.88690899824655256</v>
      </c>
      <c r="G34">
        <v>0.83446504081577555</v>
      </c>
      <c r="H34">
        <v>0.28785116037520447</v>
      </c>
      <c r="I34" t="s">
        <v>21</v>
      </c>
      <c r="J34">
        <v>0.90324851377745297</v>
      </c>
      <c r="K34">
        <v>0.85149771882120684</v>
      </c>
      <c r="L34" t="s">
        <v>58</v>
      </c>
      <c r="M34" s="4">
        <v>0.88690899824655256</v>
      </c>
    </row>
    <row r="35" spans="1:13" x14ac:dyDescent="0.35">
      <c r="A35" t="s">
        <v>42</v>
      </c>
      <c r="B35" t="s">
        <v>18</v>
      </c>
      <c r="C35" t="s">
        <v>35</v>
      </c>
      <c r="D35" t="s">
        <v>20</v>
      </c>
      <c r="E35">
        <v>67</v>
      </c>
      <c r="F35" s="3">
        <v>0.44775789293886809</v>
      </c>
      <c r="G35">
        <v>0.87002081886262772</v>
      </c>
      <c r="H35">
        <v>0.60679627042305417</v>
      </c>
      <c r="I35" t="s">
        <v>21</v>
      </c>
      <c r="J35">
        <v>0.90183574657372945</v>
      </c>
      <c r="K35">
        <v>0.84932928543874753</v>
      </c>
      <c r="L35" t="s">
        <v>59</v>
      </c>
      <c r="M35" s="4">
        <v>0.44775789293886809</v>
      </c>
    </row>
    <row r="36" spans="1:13" x14ac:dyDescent="0.35">
      <c r="A36" t="s">
        <v>42</v>
      </c>
      <c r="B36" t="s">
        <v>13</v>
      </c>
      <c r="C36" t="s">
        <v>35</v>
      </c>
      <c r="D36" t="s">
        <v>24</v>
      </c>
      <c r="E36">
        <v>120</v>
      </c>
      <c r="F36" s="3">
        <v>0.1411769246029051</v>
      </c>
      <c r="G36">
        <v>0.31238765384731709</v>
      </c>
      <c r="H36">
        <v>0.65132039809724884</v>
      </c>
      <c r="I36" t="s">
        <v>21</v>
      </c>
      <c r="J36">
        <v>0.89183371761743579</v>
      </c>
      <c r="K36">
        <v>0.86306608932420059</v>
      </c>
      <c r="L36" t="s">
        <v>60</v>
      </c>
      <c r="M36" s="4">
        <v>0.1411769246029051</v>
      </c>
    </row>
    <row r="37" spans="1:13" x14ac:dyDescent="0.35">
      <c r="A37" t="s">
        <v>42</v>
      </c>
      <c r="B37" t="s">
        <v>18</v>
      </c>
      <c r="C37" t="s">
        <v>35</v>
      </c>
      <c r="D37" t="s">
        <v>24</v>
      </c>
      <c r="E37">
        <v>120</v>
      </c>
      <c r="F37" s="3">
        <v>1.6843101818822759E-2</v>
      </c>
      <c r="G37">
        <v>0.32411722762916051</v>
      </c>
      <c r="H37">
        <v>0.95855572102287034</v>
      </c>
      <c r="I37" t="s">
        <v>21</v>
      </c>
      <c r="J37">
        <v>0.89167940371723531</v>
      </c>
      <c r="K37">
        <v>0.8628707344930957</v>
      </c>
      <c r="L37" t="s">
        <v>61</v>
      </c>
      <c r="M37" s="4">
        <v>1.6843101818822759E-2</v>
      </c>
    </row>
    <row r="38" spans="1:13" x14ac:dyDescent="0.35">
      <c r="A38" t="s">
        <v>62</v>
      </c>
      <c r="B38" t="s">
        <v>13</v>
      </c>
      <c r="C38" t="s">
        <v>14</v>
      </c>
      <c r="D38" t="s">
        <v>15</v>
      </c>
      <c r="E38">
        <v>118</v>
      </c>
      <c r="F38" s="3">
        <v>0.22227538628381571</v>
      </c>
      <c r="G38">
        <v>0.26378308885056251</v>
      </c>
      <c r="H38">
        <v>0.39942725884593122</v>
      </c>
      <c r="I38" t="s">
        <v>21</v>
      </c>
      <c r="J38">
        <v>0.95175735030460173</v>
      </c>
      <c r="K38">
        <v>0.93199530103178796</v>
      </c>
      <c r="L38" t="s">
        <v>63</v>
      </c>
      <c r="M38" s="4">
        <v>0.22227538628381571</v>
      </c>
    </row>
    <row r="39" spans="1:13" x14ac:dyDescent="0.35">
      <c r="A39" t="s">
        <v>62</v>
      </c>
      <c r="B39" t="s">
        <v>18</v>
      </c>
      <c r="C39" t="s">
        <v>14</v>
      </c>
      <c r="D39" t="s">
        <v>15</v>
      </c>
      <c r="E39">
        <v>118</v>
      </c>
      <c r="F39" s="3">
        <v>0.52619245866410247</v>
      </c>
      <c r="G39">
        <v>0.31674008775505502</v>
      </c>
      <c r="H39">
        <v>9.6658184636314134E-2</v>
      </c>
      <c r="I39" t="s">
        <v>25</v>
      </c>
      <c r="J39">
        <v>0.95340979851793195</v>
      </c>
      <c r="K39">
        <v>0.93432465574214507</v>
      </c>
      <c r="L39" t="s">
        <v>64</v>
      </c>
      <c r="M39" s="4">
        <v>0.52619245866410247</v>
      </c>
    </row>
    <row r="40" spans="1:13" x14ac:dyDescent="0.35">
      <c r="A40" t="s">
        <v>62</v>
      </c>
      <c r="B40" t="s">
        <v>13</v>
      </c>
      <c r="C40" t="s">
        <v>14</v>
      </c>
      <c r="D40" t="s">
        <v>20</v>
      </c>
      <c r="E40">
        <v>158</v>
      </c>
      <c r="F40" s="3">
        <v>0.22185717831491519</v>
      </c>
      <c r="G40">
        <v>0.33100554608545929</v>
      </c>
      <c r="H40">
        <v>0.50269706580640139</v>
      </c>
      <c r="I40" t="s">
        <v>21</v>
      </c>
      <c r="J40">
        <v>0.90602998301469029</v>
      </c>
      <c r="K40">
        <v>0.87807196143228405</v>
      </c>
      <c r="L40" t="s">
        <v>65</v>
      </c>
      <c r="M40" s="4">
        <v>0.22185717831491519</v>
      </c>
    </row>
    <row r="41" spans="1:13" x14ac:dyDescent="0.35">
      <c r="A41" t="s">
        <v>62</v>
      </c>
      <c r="B41" t="s">
        <v>18</v>
      </c>
      <c r="C41" t="s">
        <v>14</v>
      </c>
      <c r="D41" t="s">
        <v>20</v>
      </c>
      <c r="E41">
        <v>158</v>
      </c>
      <c r="F41" s="3">
        <v>0.19929879601748851</v>
      </c>
      <c r="G41">
        <v>0.22893042976704359</v>
      </c>
      <c r="H41">
        <v>0.38399177013507219</v>
      </c>
      <c r="I41" t="s">
        <v>21</v>
      </c>
      <c r="J41">
        <v>0.9061276145389271</v>
      </c>
      <c r="K41">
        <v>0.87819864035216155</v>
      </c>
      <c r="L41" t="s">
        <v>66</v>
      </c>
      <c r="M41" s="4">
        <v>0.19929879601748851</v>
      </c>
    </row>
    <row r="42" spans="1:13" x14ac:dyDescent="0.35">
      <c r="A42" t="s">
        <v>62</v>
      </c>
      <c r="B42" t="s">
        <v>13</v>
      </c>
      <c r="C42" t="s">
        <v>14</v>
      </c>
      <c r="D42" t="s">
        <v>24</v>
      </c>
      <c r="E42">
        <v>276</v>
      </c>
      <c r="F42" s="3">
        <v>0.32261741909505948</v>
      </c>
      <c r="G42">
        <v>0.18973591060011491</v>
      </c>
      <c r="H42">
        <v>8.9065146903425485E-2</v>
      </c>
      <c r="I42" t="s">
        <v>25</v>
      </c>
      <c r="J42">
        <v>0.91523563352089243</v>
      </c>
      <c r="K42">
        <v>0.90164472243985405</v>
      </c>
      <c r="L42" t="s">
        <v>67</v>
      </c>
      <c r="M42" s="4">
        <v>0.32261741909505948</v>
      </c>
    </row>
    <row r="43" spans="1:13" x14ac:dyDescent="0.35">
      <c r="A43" t="s">
        <v>62</v>
      </c>
      <c r="B43" t="s">
        <v>18</v>
      </c>
      <c r="C43" t="s">
        <v>14</v>
      </c>
      <c r="D43" t="s">
        <v>24</v>
      </c>
      <c r="E43">
        <v>276</v>
      </c>
      <c r="F43" s="3">
        <v>0.31160918620253558</v>
      </c>
      <c r="G43">
        <v>0.15841671461897541</v>
      </c>
      <c r="H43">
        <v>4.918065751742938E-2</v>
      </c>
      <c r="I43" t="s">
        <v>16</v>
      </c>
      <c r="J43">
        <v>0.91517368595209514</v>
      </c>
      <c r="K43">
        <v>0.90157284234947743</v>
      </c>
      <c r="L43" t="s">
        <v>68</v>
      </c>
      <c r="M43" s="4">
        <v>0.31160918620253558</v>
      </c>
    </row>
    <row r="44" spans="1:13" x14ac:dyDescent="0.35">
      <c r="A44" t="s">
        <v>62</v>
      </c>
      <c r="B44" t="s">
        <v>13</v>
      </c>
      <c r="C44" t="s">
        <v>28</v>
      </c>
      <c r="D44" t="s">
        <v>15</v>
      </c>
      <c r="E44">
        <v>65</v>
      </c>
      <c r="F44" s="3">
        <v>0.86866455178873414</v>
      </c>
      <c r="G44">
        <v>0.35566572901357141</v>
      </c>
      <c r="H44">
        <v>1.459149675277357E-2</v>
      </c>
      <c r="I44" t="s">
        <v>16</v>
      </c>
      <c r="J44">
        <v>0.86899826887279052</v>
      </c>
      <c r="K44">
        <v>0.79550949287459982</v>
      </c>
      <c r="L44" t="s">
        <v>69</v>
      </c>
      <c r="M44" s="4">
        <v>0.86866455178873414</v>
      </c>
    </row>
    <row r="45" spans="1:13" x14ac:dyDescent="0.35">
      <c r="A45" t="s">
        <v>62</v>
      </c>
      <c r="B45" t="s">
        <v>18</v>
      </c>
      <c r="C45" t="s">
        <v>28</v>
      </c>
      <c r="D45" t="s">
        <v>15</v>
      </c>
      <c r="E45">
        <v>65</v>
      </c>
      <c r="F45" s="3">
        <v>1.057490183746103</v>
      </c>
      <c r="G45">
        <v>0.32954699062796761</v>
      </c>
      <c r="H45">
        <v>1.3323419987159521E-3</v>
      </c>
      <c r="I45" t="s">
        <v>43</v>
      </c>
      <c r="J45">
        <v>0.87793905068440137</v>
      </c>
      <c r="K45">
        <v>0.8094658352146753</v>
      </c>
      <c r="L45" t="s">
        <v>70</v>
      </c>
      <c r="M45" s="4">
        <v>1.057490183746103</v>
      </c>
    </row>
    <row r="46" spans="1:13" x14ac:dyDescent="0.35">
      <c r="A46" t="s">
        <v>62</v>
      </c>
      <c r="B46" t="s">
        <v>13</v>
      </c>
      <c r="C46" t="s">
        <v>28</v>
      </c>
      <c r="D46" t="s">
        <v>20</v>
      </c>
      <c r="E46">
        <v>91</v>
      </c>
      <c r="F46" s="3">
        <v>0.87883932119124386</v>
      </c>
      <c r="G46">
        <v>0.54956013908678858</v>
      </c>
      <c r="H46">
        <v>0.1097831440771105</v>
      </c>
      <c r="I46" t="s">
        <v>21</v>
      </c>
      <c r="J46">
        <v>0.74992856785247597</v>
      </c>
      <c r="K46">
        <v>0.64833704854254437</v>
      </c>
      <c r="L46" t="s">
        <v>71</v>
      </c>
      <c r="M46" s="4">
        <v>0.87883932119124386</v>
      </c>
    </row>
    <row r="47" spans="1:13" x14ac:dyDescent="0.35">
      <c r="A47" t="s">
        <v>62</v>
      </c>
      <c r="B47" t="s">
        <v>18</v>
      </c>
      <c r="C47" t="s">
        <v>28</v>
      </c>
      <c r="D47" t="s">
        <v>20</v>
      </c>
      <c r="E47">
        <v>91</v>
      </c>
      <c r="F47" s="3">
        <v>0.74077256136988545</v>
      </c>
      <c r="G47">
        <v>0.36055513525488159</v>
      </c>
      <c r="H47">
        <v>3.9924095903279208E-2</v>
      </c>
      <c r="I47" t="s">
        <v>16</v>
      </c>
      <c r="J47">
        <v>0.75238948923091031</v>
      </c>
      <c r="K47">
        <v>0.65179771923096763</v>
      </c>
      <c r="L47" t="s">
        <v>72</v>
      </c>
      <c r="M47" s="4">
        <v>0.74077256136988545</v>
      </c>
    </row>
    <row r="48" spans="1:13" x14ac:dyDescent="0.35">
      <c r="A48" t="s">
        <v>62</v>
      </c>
      <c r="B48" t="s">
        <v>13</v>
      </c>
      <c r="C48" t="s">
        <v>28</v>
      </c>
      <c r="D48" t="s">
        <v>24</v>
      </c>
      <c r="E48">
        <v>156</v>
      </c>
      <c r="F48" s="3">
        <v>0.64915235516436531</v>
      </c>
      <c r="G48">
        <v>0.2468969930707608</v>
      </c>
      <c r="H48">
        <v>8.5575019768940989E-3</v>
      </c>
      <c r="I48" t="s">
        <v>43</v>
      </c>
      <c r="J48">
        <v>0.76985050556813106</v>
      </c>
      <c r="K48">
        <v>0.71910888474850643</v>
      </c>
      <c r="L48" t="s">
        <v>73</v>
      </c>
      <c r="M48" s="4">
        <v>0.64915235516436531</v>
      </c>
    </row>
    <row r="49" spans="1:13" x14ac:dyDescent="0.35">
      <c r="A49" t="s">
        <v>62</v>
      </c>
      <c r="B49" t="s">
        <v>18</v>
      </c>
      <c r="C49" t="s">
        <v>28</v>
      </c>
      <c r="D49" t="s">
        <v>24</v>
      </c>
      <c r="E49">
        <v>156</v>
      </c>
      <c r="F49" s="3">
        <v>0.51727548312967908</v>
      </c>
      <c r="G49">
        <v>0.21487169086587701</v>
      </c>
      <c r="H49">
        <v>1.606791836848296E-2</v>
      </c>
      <c r="I49" t="s">
        <v>16</v>
      </c>
      <c r="J49">
        <v>0.7684224330042474</v>
      </c>
      <c r="K49">
        <v>0.71736596154061694</v>
      </c>
      <c r="L49" t="s">
        <v>74</v>
      </c>
      <c r="M49" s="4">
        <v>0.51727548312967908</v>
      </c>
    </row>
    <row r="50" spans="1:13" x14ac:dyDescent="0.35">
      <c r="A50" t="s">
        <v>62</v>
      </c>
      <c r="B50" t="s">
        <v>13</v>
      </c>
      <c r="C50" t="s">
        <v>35</v>
      </c>
      <c r="D50" t="s">
        <v>15</v>
      </c>
      <c r="E50">
        <v>53</v>
      </c>
      <c r="F50" s="3">
        <v>-0.13753372879618969</v>
      </c>
      <c r="G50">
        <v>0.18793934762403469</v>
      </c>
      <c r="H50">
        <v>0.4642915773723626</v>
      </c>
      <c r="I50" t="s">
        <v>21</v>
      </c>
      <c r="J50">
        <v>0.92133170588380353</v>
      </c>
      <c r="K50">
        <v>0.87216402206118071</v>
      </c>
      <c r="L50" t="s">
        <v>75</v>
      </c>
      <c r="M50" s="4">
        <v>-0.13753372879618969</v>
      </c>
    </row>
    <row r="51" spans="1:13" x14ac:dyDescent="0.35">
      <c r="A51" t="s">
        <v>62</v>
      </c>
      <c r="B51" t="s">
        <v>18</v>
      </c>
      <c r="C51" t="s">
        <v>35</v>
      </c>
      <c r="D51" t="s">
        <v>15</v>
      </c>
      <c r="E51">
        <v>53</v>
      </c>
      <c r="F51" s="3">
        <v>0.28056645860816892</v>
      </c>
      <c r="G51">
        <v>0.42672819977388532</v>
      </c>
      <c r="H51">
        <v>0.51087051643282999</v>
      </c>
      <c r="I51" t="s">
        <v>21</v>
      </c>
      <c r="J51">
        <v>0.92158073556150399</v>
      </c>
      <c r="K51">
        <v>0.87256869528744396</v>
      </c>
      <c r="L51" t="s">
        <v>76</v>
      </c>
      <c r="M51" s="4">
        <v>0.28056645860816892</v>
      </c>
    </row>
    <row r="52" spans="1:13" x14ac:dyDescent="0.35">
      <c r="A52" t="s">
        <v>62</v>
      </c>
      <c r="B52" t="s">
        <v>13</v>
      </c>
      <c r="C52" t="s">
        <v>35</v>
      </c>
      <c r="D52" t="s">
        <v>20</v>
      </c>
      <c r="E52">
        <v>67</v>
      </c>
      <c r="F52" s="3">
        <v>-1.110044510655152</v>
      </c>
      <c r="G52">
        <v>0.49530285043816402</v>
      </c>
      <c r="H52">
        <v>2.5016814349958609E-2</v>
      </c>
      <c r="I52" t="s">
        <v>16</v>
      </c>
      <c r="J52">
        <v>0.92343186179710846</v>
      </c>
      <c r="K52">
        <v>0.88247681113044552</v>
      </c>
      <c r="L52" t="s">
        <v>77</v>
      </c>
      <c r="M52" s="4">
        <v>-1.110044510655152</v>
      </c>
    </row>
    <row r="53" spans="1:13" x14ac:dyDescent="0.35">
      <c r="A53" t="s">
        <v>62</v>
      </c>
      <c r="B53" t="s">
        <v>18</v>
      </c>
      <c r="C53" t="s">
        <v>35</v>
      </c>
      <c r="D53" t="s">
        <v>20</v>
      </c>
      <c r="E53">
        <v>67</v>
      </c>
      <c r="F53" s="3">
        <v>-0.22571484872071351</v>
      </c>
      <c r="G53">
        <v>0.27032424286988987</v>
      </c>
      <c r="H53">
        <v>0.40372998487300538</v>
      </c>
      <c r="I53" t="s">
        <v>21</v>
      </c>
      <c r="J53">
        <v>0.91757417020102183</v>
      </c>
      <c r="K53">
        <v>0.87348593565738231</v>
      </c>
      <c r="L53" t="s">
        <v>78</v>
      </c>
      <c r="M53" s="4">
        <v>-0.22571484872071351</v>
      </c>
    </row>
    <row r="54" spans="1:13" x14ac:dyDescent="0.35">
      <c r="A54" t="s">
        <v>62</v>
      </c>
      <c r="B54" t="s">
        <v>13</v>
      </c>
      <c r="C54" t="s">
        <v>35</v>
      </c>
      <c r="D54" t="s">
        <v>24</v>
      </c>
      <c r="E54">
        <v>120</v>
      </c>
      <c r="F54" s="3">
        <v>-3.6482891875824867E-2</v>
      </c>
      <c r="G54">
        <v>0.16614995696733029</v>
      </c>
      <c r="H54">
        <v>0.82619974878880931</v>
      </c>
      <c r="I54" t="s">
        <v>21</v>
      </c>
      <c r="J54">
        <v>0.88954319389269287</v>
      </c>
      <c r="K54">
        <v>0.86016638375777077</v>
      </c>
      <c r="L54" t="s">
        <v>79</v>
      </c>
      <c r="M54" s="4">
        <v>-3.6482891875824867E-2</v>
      </c>
    </row>
    <row r="55" spans="1:13" x14ac:dyDescent="0.35">
      <c r="A55" t="s">
        <v>62</v>
      </c>
      <c r="B55" t="s">
        <v>18</v>
      </c>
      <c r="C55" t="s">
        <v>35</v>
      </c>
      <c r="D55" t="s">
        <v>24</v>
      </c>
      <c r="E55">
        <v>120</v>
      </c>
      <c r="F55" s="3">
        <v>0.15034355093183191</v>
      </c>
      <c r="G55">
        <v>0.23609060657637471</v>
      </c>
      <c r="H55">
        <v>0.52425222145029615</v>
      </c>
      <c r="I55" t="s">
        <v>21</v>
      </c>
      <c r="J55">
        <v>0.88991014799708212</v>
      </c>
      <c r="K55">
        <v>0.86063093203885932</v>
      </c>
      <c r="L55" t="s">
        <v>80</v>
      </c>
      <c r="M55" s="4">
        <v>0.15034355093183191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workbookViewId="0">
      <selection activeCell="F2" sqref="F2"/>
    </sheetView>
  </sheetViews>
  <sheetFormatPr defaultRowHeight="14.5" x14ac:dyDescent="0.35"/>
  <cols>
    <col min="3" max="3" width="12.179687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>
        <v>118</v>
      </c>
      <c r="F2">
        <v>0.28854917688948412</v>
      </c>
      <c r="G2">
        <v>0.13145858570377339</v>
      </c>
      <c r="H2">
        <v>2.8164917597274339E-2</v>
      </c>
      <c r="I2" t="s">
        <v>16</v>
      </c>
      <c r="J2">
        <v>0.95820938013756629</v>
      </c>
      <c r="K2">
        <v>0.94109033103729223</v>
      </c>
      <c r="L2" t="s">
        <v>17</v>
      </c>
    </row>
    <row r="3" spans="1:12" x14ac:dyDescent="0.35">
      <c r="A3" t="s">
        <v>12</v>
      </c>
      <c r="B3" t="s">
        <v>18</v>
      </c>
      <c r="C3" t="s">
        <v>14</v>
      </c>
      <c r="D3" t="s">
        <v>15</v>
      </c>
      <c r="E3">
        <v>118</v>
      </c>
      <c r="F3">
        <v>0.47704761252786332</v>
      </c>
      <c r="G3">
        <v>0.2077928989759143</v>
      </c>
      <c r="H3">
        <v>2.1688234792893189E-2</v>
      </c>
      <c r="I3" t="s">
        <v>16</v>
      </c>
      <c r="J3">
        <v>0.95863468955856512</v>
      </c>
      <c r="K3">
        <v>0.94168986359460383</v>
      </c>
      <c r="L3" t="s">
        <v>19</v>
      </c>
    </row>
    <row r="4" spans="1:12" x14ac:dyDescent="0.35">
      <c r="A4" t="s">
        <v>12</v>
      </c>
      <c r="B4" t="s">
        <v>13</v>
      </c>
      <c r="C4" t="s">
        <v>14</v>
      </c>
      <c r="D4" t="s">
        <v>24</v>
      </c>
      <c r="E4">
        <v>276</v>
      </c>
      <c r="F4">
        <v>0.21599921447745901</v>
      </c>
      <c r="G4">
        <v>0.1271790626043412</v>
      </c>
      <c r="H4">
        <v>8.9434821369187262E-2</v>
      </c>
      <c r="I4" t="s">
        <v>25</v>
      </c>
      <c r="J4">
        <v>0.91349822893382071</v>
      </c>
      <c r="K4">
        <v>0.8996287466531675</v>
      </c>
      <c r="L4" t="s">
        <v>26</v>
      </c>
    </row>
    <row r="5" spans="1:12" x14ac:dyDescent="0.35">
      <c r="A5" t="s">
        <v>12</v>
      </c>
      <c r="B5" t="s">
        <v>13</v>
      </c>
      <c r="C5" t="s">
        <v>35</v>
      </c>
      <c r="D5" t="s">
        <v>15</v>
      </c>
      <c r="E5">
        <v>53</v>
      </c>
      <c r="F5">
        <v>0.30744178245206832</v>
      </c>
      <c r="G5">
        <v>0.13226387302672801</v>
      </c>
      <c r="H5">
        <v>2.0100974391982721E-2</v>
      </c>
      <c r="I5" t="s">
        <v>16</v>
      </c>
      <c r="J5">
        <v>0.9310281514242833</v>
      </c>
      <c r="K5">
        <v>0.88792074606446036</v>
      </c>
      <c r="L5" t="s">
        <v>36</v>
      </c>
    </row>
    <row r="6" spans="1:12" x14ac:dyDescent="0.35">
      <c r="A6" t="s">
        <v>12</v>
      </c>
      <c r="B6" t="s">
        <v>18</v>
      </c>
      <c r="C6" t="s">
        <v>35</v>
      </c>
      <c r="D6" t="s">
        <v>15</v>
      </c>
      <c r="E6">
        <v>53</v>
      </c>
      <c r="F6">
        <v>0.53659973340029699</v>
      </c>
      <c r="G6">
        <v>0.2287108301513972</v>
      </c>
      <c r="H6">
        <v>1.8966287016990512E-2</v>
      </c>
      <c r="I6" t="s">
        <v>16</v>
      </c>
      <c r="J6">
        <v>0.93235250735582809</v>
      </c>
      <c r="K6">
        <v>0.89007282445322067</v>
      </c>
      <c r="L6" t="s">
        <v>37</v>
      </c>
    </row>
    <row r="7" spans="1:12" x14ac:dyDescent="0.35">
      <c r="A7" t="s">
        <v>42</v>
      </c>
      <c r="B7" t="s">
        <v>13</v>
      </c>
      <c r="C7" t="s">
        <v>14</v>
      </c>
      <c r="D7" t="s">
        <v>15</v>
      </c>
      <c r="E7">
        <v>118</v>
      </c>
      <c r="F7">
        <v>0.43275388482879862</v>
      </c>
      <c r="G7">
        <v>0.16150722099584441</v>
      </c>
      <c r="H7">
        <v>7.3738631356239266E-3</v>
      </c>
      <c r="I7" t="s">
        <v>43</v>
      </c>
      <c r="J7">
        <v>0.91289672944042588</v>
      </c>
      <c r="K7">
        <v>0.87721587162084136</v>
      </c>
      <c r="L7" t="s">
        <v>44</v>
      </c>
    </row>
    <row r="8" spans="1:12" x14ac:dyDescent="0.35">
      <c r="A8" t="s">
        <v>42</v>
      </c>
      <c r="B8" t="s">
        <v>18</v>
      </c>
      <c r="C8" t="s">
        <v>14</v>
      </c>
      <c r="D8" t="s">
        <v>15</v>
      </c>
      <c r="E8">
        <v>118</v>
      </c>
      <c r="F8">
        <v>0.65844348726874291</v>
      </c>
      <c r="G8">
        <v>0.27075995128967062</v>
      </c>
      <c r="H8">
        <v>1.502255501386739E-2</v>
      </c>
      <c r="I8" t="s">
        <v>16</v>
      </c>
      <c r="J8">
        <v>0.91430803019129048</v>
      </c>
      <c r="K8">
        <v>0.87920529557085525</v>
      </c>
      <c r="L8" t="s">
        <v>45</v>
      </c>
    </row>
    <row r="9" spans="1:12" x14ac:dyDescent="0.35">
      <c r="A9" t="s">
        <v>42</v>
      </c>
      <c r="B9" t="s">
        <v>13</v>
      </c>
      <c r="C9" t="s">
        <v>28</v>
      </c>
      <c r="D9" t="s">
        <v>15</v>
      </c>
      <c r="E9">
        <v>65</v>
      </c>
      <c r="F9">
        <v>0.54528032521113068</v>
      </c>
      <c r="G9">
        <v>0.28065912634191081</v>
      </c>
      <c r="H9">
        <v>5.2033534662067393E-2</v>
      </c>
      <c r="I9" t="s">
        <v>25</v>
      </c>
      <c r="J9">
        <v>0.83908323919917427</v>
      </c>
      <c r="K9">
        <v>0.74881286118895496</v>
      </c>
      <c r="L9" t="s">
        <v>50</v>
      </c>
    </row>
    <row r="10" spans="1:12" x14ac:dyDescent="0.35">
      <c r="A10" t="s">
        <v>42</v>
      </c>
      <c r="B10" t="s">
        <v>18</v>
      </c>
      <c r="C10" t="s">
        <v>28</v>
      </c>
      <c r="D10" t="s">
        <v>15</v>
      </c>
      <c r="E10">
        <v>65</v>
      </c>
      <c r="F10">
        <v>1.6566718309686641</v>
      </c>
      <c r="G10">
        <v>0.52795635972737154</v>
      </c>
      <c r="H10">
        <v>1.701655921571578E-3</v>
      </c>
      <c r="I10" t="s">
        <v>43</v>
      </c>
      <c r="J10">
        <v>0.8567511200615987</v>
      </c>
      <c r="K10">
        <v>0.77639199229127598</v>
      </c>
      <c r="L10" t="s">
        <v>51</v>
      </c>
    </row>
    <row r="11" spans="1:12" x14ac:dyDescent="0.35">
      <c r="A11" t="s">
        <v>42</v>
      </c>
      <c r="B11" t="s">
        <v>13</v>
      </c>
      <c r="C11" t="s">
        <v>28</v>
      </c>
      <c r="D11" t="s">
        <v>20</v>
      </c>
      <c r="E11">
        <v>91</v>
      </c>
      <c r="F11">
        <v>-0.97292605619007932</v>
      </c>
      <c r="G11">
        <v>0.52659184109959734</v>
      </c>
      <c r="H11">
        <v>6.466161241840572E-2</v>
      </c>
      <c r="I11" t="s">
        <v>25</v>
      </c>
      <c r="J11">
        <v>0.92000923935233225</v>
      </c>
      <c r="K11">
        <v>0.88751299283921725</v>
      </c>
      <c r="L11" t="s">
        <v>52</v>
      </c>
    </row>
    <row r="12" spans="1:12" x14ac:dyDescent="0.35">
      <c r="A12" t="s">
        <v>42</v>
      </c>
      <c r="B12" t="s">
        <v>18</v>
      </c>
      <c r="C12" t="s">
        <v>28</v>
      </c>
      <c r="D12" t="s">
        <v>24</v>
      </c>
      <c r="E12">
        <v>156</v>
      </c>
      <c r="F12">
        <v>0.76370572892595778</v>
      </c>
      <c r="G12">
        <v>0.44541132235458181</v>
      </c>
      <c r="H12">
        <v>8.6417157135835213E-2</v>
      </c>
      <c r="I12" t="s">
        <v>25</v>
      </c>
      <c r="J12">
        <v>0.91663264791401688</v>
      </c>
      <c r="K12">
        <v>0.89825244430450879</v>
      </c>
      <c r="L12" t="s">
        <v>55</v>
      </c>
    </row>
    <row r="13" spans="1:12" x14ac:dyDescent="0.35">
      <c r="A13" t="s">
        <v>42</v>
      </c>
      <c r="B13" t="s">
        <v>13</v>
      </c>
      <c r="C13" t="s">
        <v>35</v>
      </c>
      <c r="D13" t="s">
        <v>15</v>
      </c>
      <c r="E13">
        <v>53</v>
      </c>
      <c r="F13">
        <v>0.57906329587954708</v>
      </c>
      <c r="G13">
        <v>0.21936169928064439</v>
      </c>
      <c r="H13">
        <v>8.2963578113708341E-3</v>
      </c>
      <c r="I13" t="s">
        <v>43</v>
      </c>
      <c r="J13">
        <v>0.85095152553628239</v>
      </c>
      <c r="K13">
        <v>0.75779622899645882</v>
      </c>
      <c r="L13" t="s">
        <v>56</v>
      </c>
    </row>
    <row r="14" spans="1:12" x14ac:dyDescent="0.35">
      <c r="A14" t="s">
        <v>42</v>
      </c>
      <c r="B14" t="s">
        <v>18</v>
      </c>
      <c r="C14" t="s">
        <v>35</v>
      </c>
      <c r="D14" t="s">
        <v>15</v>
      </c>
      <c r="E14">
        <v>53</v>
      </c>
      <c r="F14">
        <v>0.6146100421878361</v>
      </c>
      <c r="G14">
        <v>0.25304808815678098</v>
      </c>
      <c r="H14">
        <v>1.514775615859288E-2</v>
      </c>
      <c r="I14" t="s">
        <v>16</v>
      </c>
      <c r="J14">
        <v>0.85287265919564559</v>
      </c>
      <c r="K14">
        <v>0.76091807119292409</v>
      </c>
      <c r="L14" t="s">
        <v>57</v>
      </c>
    </row>
    <row r="15" spans="1:12" x14ac:dyDescent="0.35">
      <c r="A15" t="s">
        <v>62</v>
      </c>
      <c r="B15" t="s">
        <v>18</v>
      </c>
      <c r="C15" t="s">
        <v>14</v>
      </c>
      <c r="D15" t="s">
        <v>15</v>
      </c>
      <c r="E15">
        <v>118</v>
      </c>
      <c r="F15">
        <v>0.52619245866410247</v>
      </c>
      <c r="G15">
        <v>0.31674008775505502</v>
      </c>
      <c r="H15">
        <v>9.6658184636314134E-2</v>
      </c>
      <c r="I15" t="s">
        <v>25</v>
      </c>
      <c r="J15">
        <v>0.95340979851793195</v>
      </c>
      <c r="K15">
        <v>0.93432465574214507</v>
      </c>
      <c r="L15" t="s">
        <v>64</v>
      </c>
    </row>
    <row r="16" spans="1:12" x14ac:dyDescent="0.35">
      <c r="A16" t="s">
        <v>62</v>
      </c>
      <c r="B16" t="s">
        <v>13</v>
      </c>
      <c r="C16" t="s">
        <v>14</v>
      </c>
      <c r="D16" t="s">
        <v>24</v>
      </c>
      <c r="E16">
        <v>276</v>
      </c>
      <c r="F16">
        <v>0.32261741909505948</v>
      </c>
      <c r="G16">
        <v>0.18973591060011491</v>
      </c>
      <c r="H16">
        <v>8.9065146903425485E-2</v>
      </c>
      <c r="I16" t="s">
        <v>25</v>
      </c>
      <c r="J16">
        <v>0.91523563352089243</v>
      </c>
      <c r="K16">
        <v>0.90164472243985405</v>
      </c>
      <c r="L16" t="s">
        <v>67</v>
      </c>
    </row>
    <row r="17" spans="1:12" x14ac:dyDescent="0.35">
      <c r="A17" t="s">
        <v>62</v>
      </c>
      <c r="B17" t="s">
        <v>18</v>
      </c>
      <c r="C17" t="s">
        <v>14</v>
      </c>
      <c r="D17" t="s">
        <v>24</v>
      </c>
      <c r="E17">
        <v>276</v>
      </c>
      <c r="F17">
        <v>0.31160918620253558</v>
      </c>
      <c r="G17">
        <v>0.15841671461897541</v>
      </c>
      <c r="H17">
        <v>4.918065751742938E-2</v>
      </c>
      <c r="I17" t="s">
        <v>16</v>
      </c>
      <c r="J17">
        <v>0.91517368595209514</v>
      </c>
      <c r="K17">
        <v>0.90157284234947743</v>
      </c>
      <c r="L17" t="s">
        <v>68</v>
      </c>
    </row>
    <row r="18" spans="1:12" x14ac:dyDescent="0.35">
      <c r="A18" t="s">
        <v>62</v>
      </c>
      <c r="B18" t="s">
        <v>13</v>
      </c>
      <c r="C18" t="s">
        <v>28</v>
      </c>
      <c r="D18" t="s">
        <v>15</v>
      </c>
      <c r="E18">
        <v>65</v>
      </c>
      <c r="F18">
        <v>0.86866455178873414</v>
      </c>
      <c r="G18">
        <v>0.35566572901357141</v>
      </c>
      <c r="H18">
        <v>1.459149675277357E-2</v>
      </c>
      <c r="I18" t="s">
        <v>16</v>
      </c>
      <c r="J18">
        <v>0.86899826887279052</v>
      </c>
      <c r="K18">
        <v>0.79550949287459982</v>
      </c>
      <c r="L18" t="s">
        <v>69</v>
      </c>
    </row>
    <row r="19" spans="1:12" x14ac:dyDescent="0.35">
      <c r="A19" t="s">
        <v>62</v>
      </c>
      <c r="B19" t="s">
        <v>18</v>
      </c>
      <c r="C19" t="s">
        <v>28</v>
      </c>
      <c r="D19" t="s">
        <v>15</v>
      </c>
      <c r="E19">
        <v>65</v>
      </c>
      <c r="F19">
        <v>1.057490183746103</v>
      </c>
      <c r="G19">
        <v>0.32954699062796761</v>
      </c>
      <c r="H19">
        <v>1.3323419987159521E-3</v>
      </c>
      <c r="I19" t="s">
        <v>43</v>
      </c>
      <c r="J19">
        <v>0.87793905068440137</v>
      </c>
      <c r="K19">
        <v>0.8094658352146753</v>
      </c>
      <c r="L19" t="s">
        <v>70</v>
      </c>
    </row>
    <row r="20" spans="1:12" x14ac:dyDescent="0.35">
      <c r="A20" t="s">
        <v>62</v>
      </c>
      <c r="B20" t="s">
        <v>18</v>
      </c>
      <c r="C20" t="s">
        <v>28</v>
      </c>
      <c r="D20" t="s">
        <v>20</v>
      </c>
      <c r="E20">
        <v>91</v>
      </c>
      <c r="F20">
        <v>0.74077256136988545</v>
      </c>
      <c r="G20">
        <v>0.36055513525488159</v>
      </c>
      <c r="H20">
        <v>3.9924095903279208E-2</v>
      </c>
      <c r="I20" t="s">
        <v>16</v>
      </c>
      <c r="J20">
        <v>0.75238948923091031</v>
      </c>
      <c r="K20">
        <v>0.65179771923096763</v>
      </c>
      <c r="L20" t="s">
        <v>72</v>
      </c>
    </row>
    <row r="21" spans="1:12" x14ac:dyDescent="0.35">
      <c r="A21" t="s">
        <v>62</v>
      </c>
      <c r="B21" t="s">
        <v>13</v>
      </c>
      <c r="C21" t="s">
        <v>28</v>
      </c>
      <c r="D21" t="s">
        <v>24</v>
      </c>
      <c r="E21">
        <v>156</v>
      </c>
      <c r="F21">
        <v>0.64915235516436531</v>
      </c>
      <c r="G21">
        <v>0.2468969930707608</v>
      </c>
      <c r="H21">
        <v>8.5575019768940989E-3</v>
      </c>
      <c r="I21" t="s">
        <v>43</v>
      </c>
      <c r="J21">
        <v>0.76985050556813106</v>
      </c>
      <c r="K21">
        <v>0.71910888474850643</v>
      </c>
      <c r="L21" t="s">
        <v>73</v>
      </c>
    </row>
    <row r="22" spans="1:12" x14ac:dyDescent="0.35">
      <c r="A22" t="s">
        <v>62</v>
      </c>
      <c r="B22" t="s">
        <v>18</v>
      </c>
      <c r="C22" t="s">
        <v>28</v>
      </c>
      <c r="D22" t="s">
        <v>24</v>
      </c>
      <c r="E22">
        <v>156</v>
      </c>
      <c r="F22">
        <v>0.51727548312967908</v>
      </c>
      <c r="G22">
        <v>0.21487169086587701</v>
      </c>
      <c r="H22">
        <v>1.606791836848296E-2</v>
      </c>
      <c r="I22" t="s">
        <v>16</v>
      </c>
      <c r="J22">
        <v>0.7684224330042474</v>
      </c>
      <c r="K22">
        <v>0.71736596154061694</v>
      </c>
      <c r="L22" t="s">
        <v>74</v>
      </c>
    </row>
    <row r="23" spans="1:12" x14ac:dyDescent="0.35">
      <c r="A23" t="s">
        <v>62</v>
      </c>
      <c r="B23" t="s">
        <v>13</v>
      </c>
      <c r="C23" t="s">
        <v>35</v>
      </c>
      <c r="D23" t="s">
        <v>20</v>
      </c>
      <c r="E23">
        <v>67</v>
      </c>
      <c r="F23">
        <v>-1.110044510655152</v>
      </c>
      <c r="G23">
        <v>0.49530285043816402</v>
      </c>
      <c r="H23">
        <v>2.5016814349958609E-2</v>
      </c>
      <c r="I23" t="s">
        <v>16</v>
      </c>
      <c r="J23">
        <v>0.92343186179710846</v>
      </c>
      <c r="K23">
        <v>0.88247681113044552</v>
      </c>
      <c r="L23" t="s">
        <v>77</v>
      </c>
    </row>
  </sheetData>
  <autoFilter ref="A1:L23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1"/>
  <sheetViews>
    <sheetView workbookViewId="0">
      <selection activeCell="E23" sqref="E23"/>
    </sheetView>
  </sheetViews>
  <sheetFormatPr defaultRowHeight="14.5" x14ac:dyDescent="0.35"/>
  <cols>
    <col min="3" max="3" width="14.90625" customWidth="1"/>
    <col min="4" max="4" width="10.6328125" customWidth="1"/>
    <col min="5" max="5" width="13.26953125" customWidth="1"/>
    <col min="6" max="6" width="12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24</v>
      </c>
      <c r="E1" t="s">
        <v>15</v>
      </c>
      <c r="F1" t="s">
        <v>20</v>
      </c>
    </row>
    <row r="2" spans="1:10" x14ac:dyDescent="0.35">
      <c r="A2" s="2" t="s">
        <v>12</v>
      </c>
      <c r="B2" s="2" t="s">
        <v>13</v>
      </c>
      <c r="C2" t="s">
        <v>14</v>
      </c>
      <c r="D2" s="1" t="s">
        <v>26</v>
      </c>
      <c r="E2" s="1" t="s">
        <v>200</v>
      </c>
      <c r="F2" t="s">
        <v>22</v>
      </c>
      <c r="J2" t="s">
        <v>150</v>
      </c>
    </row>
    <row r="3" spans="1:10" x14ac:dyDescent="0.35">
      <c r="A3" s="2"/>
      <c r="B3" s="2"/>
      <c r="C3" t="s">
        <v>28</v>
      </c>
      <c r="D3" t="s">
        <v>152</v>
      </c>
      <c r="E3" t="s">
        <v>153</v>
      </c>
      <c r="F3" t="s">
        <v>154</v>
      </c>
    </row>
    <row r="4" spans="1:10" x14ac:dyDescent="0.35">
      <c r="A4" s="2"/>
      <c r="B4" s="2"/>
      <c r="C4" t="s">
        <v>35</v>
      </c>
      <c r="D4" t="s">
        <v>155</v>
      </c>
      <c r="E4" s="1" t="s">
        <v>156</v>
      </c>
      <c r="F4" t="s">
        <v>157</v>
      </c>
    </row>
    <row r="5" spans="1:10" x14ac:dyDescent="0.35">
      <c r="A5" s="2"/>
      <c r="B5" s="2" t="s">
        <v>18</v>
      </c>
      <c r="C5" t="s">
        <v>14</v>
      </c>
      <c r="D5" t="s">
        <v>158</v>
      </c>
      <c r="E5" s="5" t="s">
        <v>19</v>
      </c>
      <c r="F5" t="s">
        <v>159</v>
      </c>
    </row>
    <row r="6" spans="1:10" x14ac:dyDescent="0.35">
      <c r="A6" s="2"/>
      <c r="B6" s="2"/>
      <c r="C6" t="s">
        <v>28</v>
      </c>
      <c r="D6" t="s">
        <v>160</v>
      </c>
      <c r="E6" t="s">
        <v>30</v>
      </c>
      <c r="F6" t="s">
        <v>161</v>
      </c>
      <c r="J6" t="s">
        <v>151</v>
      </c>
    </row>
    <row r="7" spans="1:10" x14ac:dyDescent="0.35">
      <c r="A7" s="2"/>
      <c r="B7" s="2"/>
      <c r="C7" t="s">
        <v>35</v>
      </c>
      <c r="D7" t="s">
        <v>162</v>
      </c>
      <c r="E7" s="5" t="s">
        <v>163</v>
      </c>
      <c r="F7" t="s">
        <v>164</v>
      </c>
    </row>
    <row r="8" spans="1:10" x14ac:dyDescent="0.35">
      <c r="A8" s="2" t="s">
        <v>42</v>
      </c>
      <c r="B8" s="2" t="s">
        <v>13</v>
      </c>
      <c r="C8" t="s">
        <v>14</v>
      </c>
      <c r="D8" t="s">
        <v>165</v>
      </c>
      <c r="E8" s="1" t="s">
        <v>166</v>
      </c>
      <c r="F8" t="s">
        <v>167</v>
      </c>
    </row>
    <row r="9" spans="1:10" x14ac:dyDescent="0.35">
      <c r="A9" s="2"/>
      <c r="B9" s="2"/>
      <c r="C9" t="s">
        <v>28</v>
      </c>
      <c r="D9" t="s">
        <v>168</v>
      </c>
      <c r="E9" s="1" t="s">
        <v>169</v>
      </c>
      <c r="F9" s="1" t="s">
        <v>170</v>
      </c>
    </row>
    <row r="10" spans="1:10" x14ac:dyDescent="0.35">
      <c r="A10" s="2"/>
      <c r="B10" s="2"/>
      <c r="C10" t="s">
        <v>35</v>
      </c>
      <c r="D10" t="s">
        <v>171</v>
      </c>
      <c r="E10" s="1" t="s">
        <v>172</v>
      </c>
      <c r="F10" t="s">
        <v>173</v>
      </c>
    </row>
    <row r="11" spans="1:10" x14ac:dyDescent="0.35">
      <c r="A11" s="2"/>
      <c r="B11" s="2" t="s">
        <v>18</v>
      </c>
      <c r="C11" t="s">
        <v>14</v>
      </c>
      <c r="D11" t="s">
        <v>174</v>
      </c>
      <c r="E11" s="5" t="s">
        <v>175</v>
      </c>
      <c r="F11" t="s">
        <v>176</v>
      </c>
    </row>
    <row r="12" spans="1:10" x14ac:dyDescent="0.35">
      <c r="A12" s="2"/>
      <c r="B12" s="2"/>
      <c r="C12" t="s">
        <v>28</v>
      </c>
      <c r="D12" s="5" t="s">
        <v>177</v>
      </c>
      <c r="E12" s="5" t="s">
        <v>178</v>
      </c>
      <c r="F12" t="s">
        <v>179</v>
      </c>
    </row>
    <row r="13" spans="1:10" x14ac:dyDescent="0.35">
      <c r="A13" s="2"/>
      <c r="B13" s="2"/>
      <c r="C13" t="s">
        <v>35</v>
      </c>
      <c r="D13" t="s">
        <v>180</v>
      </c>
      <c r="E13" s="5" t="s">
        <v>181</v>
      </c>
      <c r="F13" t="s">
        <v>182</v>
      </c>
    </row>
    <row r="14" spans="1:10" x14ac:dyDescent="0.35">
      <c r="A14" s="2" t="s">
        <v>62</v>
      </c>
      <c r="B14" s="2" t="s">
        <v>13</v>
      </c>
      <c r="C14" t="s">
        <v>14</v>
      </c>
      <c r="D14" s="1" t="s">
        <v>183</v>
      </c>
      <c r="E14" t="s">
        <v>184</v>
      </c>
      <c r="F14" t="s">
        <v>184</v>
      </c>
    </row>
    <row r="15" spans="1:10" x14ac:dyDescent="0.35">
      <c r="A15" s="2"/>
      <c r="B15" s="2"/>
      <c r="C15" t="s">
        <v>28</v>
      </c>
      <c r="D15" s="1" t="s">
        <v>188</v>
      </c>
      <c r="E15" s="1" t="s">
        <v>189</v>
      </c>
      <c r="F15" t="s">
        <v>190</v>
      </c>
    </row>
    <row r="16" spans="1:10" x14ac:dyDescent="0.35">
      <c r="A16" s="2"/>
      <c r="B16" s="2"/>
      <c r="C16" t="s">
        <v>35</v>
      </c>
      <c r="D16" t="s">
        <v>191</v>
      </c>
      <c r="E16" t="s">
        <v>192</v>
      </c>
      <c r="F16" s="1" t="s">
        <v>193</v>
      </c>
    </row>
    <row r="17" spans="1:7" x14ac:dyDescent="0.35">
      <c r="A17" s="2"/>
      <c r="B17" s="2" t="s">
        <v>18</v>
      </c>
      <c r="C17" t="s">
        <v>14</v>
      </c>
      <c r="D17" s="5" t="s">
        <v>185</v>
      </c>
      <c r="E17" s="5" t="s">
        <v>186</v>
      </c>
      <c r="F17" t="s">
        <v>187</v>
      </c>
    </row>
    <row r="18" spans="1:7" x14ac:dyDescent="0.35">
      <c r="A18" s="2"/>
      <c r="B18" s="2"/>
      <c r="C18" t="s">
        <v>28</v>
      </c>
      <c r="D18" s="5" t="s">
        <v>194</v>
      </c>
      <c r="E18" s="5" t="s">
        <v>195</v>
      </c>
      <c r="F18" s="5" t="s">
        <v>196</v>
      </c>
    </row>
    <row r="19" spans="1:7" x14ac:dyDescent="0.35">
      <c r="A19" s="2"/>
      <c r="B19" s="2"/>
      <c r="C19" t="s">
        <v>35</v>
      </c>
      <c r="D19" t="s">
        <v>197</v>
      </c>
      <c r="E19" t="s">
        <v>198</v>
      </c>
      <c r="F19" t="s">
        <v>199</v>
      </c>
    </row>
    <row r="20" spans="1:7" x14ac:dyDescent="0.35">
      <c r="G20">
        <f>0.526/0.312</f>
        <v>1.6858974358974359</v>
      </c>
    </row>
    <row r="21" spans="1:7" x14ac:dyDescent="0.35">
      <c r="G21">
        <f>1.058/0.517</f>
        <v>2.0464216634429402</v>
      </c>
    </row>
  </sheetData>
  <mergeCells count="9">
    <mergeCell ref="A8:A13"/>
    <mergeCell ref="B17:B19"/>
    <mergeCell ref="A2:A7"/>
    <mergeCell ref="B14:B16"/>
    <mergeCell ref="B11:B13"/>
    <mergeCell ref="B8:B10"/>
    <mergeCell ref="B2:B4"/>
    <mergeCell ref="A14:A19"/>
    <mergeCell ref="B5:B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tabSelected="1" workbookViewId="0">
      <selection activeCell="H6" sqref="H6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24</v>
      </c>
      <c r="E1" t="s">
        <v>15</v>
      </c>
      <c r="F1" t="s">
        <v>20</v>
      </c>
    </row>
    <row r="2" spans="1:6" x14ac:dyDescent="0.35">
      <c r="A2" s="2" t="s">
        <v>12</v>
      </c>
      <c r="B2" s="2" t="s">
        <v>13</v>
      </c>
      <c r="C2" t="s">
        <v>28</v>
      </c>
      <c r="D2" s="3">
        <v>0.24672683458532421</v>
      </c>
      <c r="E2" s="3">
        <v>0.36231408596011921</v>
      </c>
      <c r="F2" s="3">
        <v>0.64681239187136397</v>
      </c>
    </row>
    <row r="3" spans="1:6" x14ac:dyDescent="0.35">
      <c r="A3" s="2"/>
      <c r="B3" s="2"/>
      <c r="C3" t="s">
        <v>14</v>
      </c>
      <c r="D3" s="3">
        <v>0.21599921447745901</v>
      </c>
      <c r="E3" s="3">
        <v>0.28854917688948412</v>
      </c>
      <c r="F3" s="3">
        <v>-0.1159889413781281</v>
      </c>
    </row>
    <row r="4" spans="1:6" x14ac:dyDescent="0.35">
      <c r="A4" s="2"/>
      <c r="B4" s="2"/>
      <c r="C4" t="s">
        <v>35</v>
      </c>
      <c r="D4" s="3">
        <v>0.14394311199561091</v>
      </c>
      <c r="E4" s="3">
        <v>0.30744178245206832</v>
      </c>
      <c r="F4" s="3">
        <v>-0.25732171470627468</v>
      </c>
    </row>
    <row r="5" spans="1:6" x14ac:dyDescent="0.35">
      <c r="A5" s="2"/>
      <c r="B5" s="2" t="s">
        <v>18</v>
      </c>
      <c r="C5" t="s">
        <v>28</v>
      </c>
      <c r="D5" s="3">
        <v>0.37909281569568382</v>
      </c>
      <c r="E5" s="3">
        <v>0.69703259097010561</v>
      </c>
      <c r="F5" s="3">
        <v>0.96560357843638522</v>
      </c>
    </row>
    <row r="6" spans="1:6" x14ac:dyDescent="0.35">
      <c r="A6" s="2"/>
      <c r="B6" s="2"/>
      <c r="C6" t="s">
        <v>14</v>
      </c>
      <c r="D6" s="3">
        <v>0.28555287419489939</v>
      </c>
      <c r="E6" s="3">
        <v>0.47704761252786332</v>
      </c>
      <c r="F6" s="3">
        <v>-5.960780054772874E-2</v>
      </c>
    </row>
    <row r="7" spans="1:6" x14ac:dyDescent="0.35">
      <c r="A7" s="2"/>
      <c r="B7" s="2"/>
      <c r="C7" t="s">
        <v>35</v>
      </c>
      <c r="D7" s="3">
        <v>0.22620444886227439</v>
      </c>
      <c r="E7" s="3">
        <v>0.53659973340029699</v>
      </c>
      <c r="F7" s="3">
        <v>-0.10209845963061109</v>
      </c>
    </row>
    <row r="8" spans="1:6" x14ac:dyDescent="0.35">
      <c r="A8" s="2" t="s">
        <v>42</v>
      </c>
      <c r="B8" s="2" t="s">
        <v>13</v>
      </c>
      <c r="C8" t="s">
        <v>28</v>
      </c>
      <c r="D8" s="3">
        <v>0.15291944911369679</v>
      </c>
      <c r="E8" s="3">
        <v>0.54528032521113068</v>
      </c>
      <c r="F8" s="3">
        <v>-0.97292605619007932</v>
      </c>
    </row>
    <row r="9" spans="1:6" x14ac:dyDescent="0.35">
      <c r="A9" s="2"/>
      <c r="B9" s="2"/>
      <c r="C9" t="s">
        <v>14</v>
      </c>
      <c r="D9" s="3">
        <v>0.1662716221262287</v>
      </c>
      <c r="E9" s="3">
        <v>0.43275388482879862</v>
      </c>
      <c r="F9" s="3">
        <v>3.5591317010170487E-2</v>
      </c>
    </row>
    <row r="10" spans="1:6" x14ac:dyDescent="0.35">
      <c r="A10" s="2"/>
      <c r="B10" s="2"/>
      <c r="C10" t="s">
        <v>35</v>
      </c>
      <c r="D10" s="3">
        <v>0.1411769246029051</v>
      </c>
      <c r="E10" s="3">
        <v>0.57906329587954708</v>
      </c>
      <c r="F10" s="3">
        <v>0.88690899824655256</v>
      </c>
    </row>
    <row r="11" spans="1:6" x14ac:dyDescent="0.35">
      <c r="A11" s="2"/>
      <c r="B11" s="2" t="s">
        <v>18</v>
      </c>
      <c r="C11" t="s">
        <v>28</v>
      </c>
      <c r="D11" s="3">
        <v>0.76370572892595778</v>
      </c>
      <c r="E11" s="3">
        <v>1.6566718309686641</v>
      </c>
      <c r="F11" s="3">
        <v>0.27686387566246973</v>
      </c>
    </row>
    <row r="12" spans="1:6" x14ac:dyDescent="0.35">
      <c r="A12" s="2"/>
      <c r="B12" s="2"/>
      <c r="C12" t="s">
        <v>14</v>
      </c>
      <c r="D12" s="3">
        <v>9.842379704777976E-2</v>
      </c>
      <c r="E12" s="3">
        <v>0.65844348726874291</v>
      </c>
      <c r="F12" s="3">
        <v>0.45113908485074461</v>
      </c>
    </row>
    <row r="13" spans="1:6" x14ac:dyDescent="0.35">
      <c r="A13" s="2"/>
      <c r="B13" s="2"/>
      <c r="C13" t="s">
        <v>35</v>
      </c>
      <c r="D13" s="3">
        <v>1.6843101818822759E-2</v>
      </c>
      <c r="E13" s="3">
        <v>0.6146100421878361</v>
      </c>
      <c r="F13" s="3">
        <v>0.44775789293886809</v>
      </c>
    </row>
    <row r="14" spans="1:6" x14ac:dyDescent="0.35">
      <c r="A14" s="2" t="s">
        <v>62</v>
      </c>
      <c r="B14" s="2" t="s">
        <v>13</v>
      </c>
      <c r="C14" t="s">
        <v>28</v>
      </c>
      <c r="D14" s="3">
        <v>0.64915235516436531</v>
      </c>
      <c r="E14" s="3">
        <v>0.86866455178873414</v>
      </c>
      <c r="F14" s="3">
        <v>0.87883932119124386</v>
      </c>
    </row>
    <row r="15" spans="1:6" x14ac:dyDescent="0.35">
      <c r="A15" s="2"/>
      <c r="B15" s="2"/>
      <c r="C15" t="s">
        <v>14</v>
      </c>
      <c r="D15" s="3">
        <v>0.32261741909505948</v>
      </c>
      <c r="E15" s="3">
        <v>0.22227538628381571</v>
      </c>
      <c r="F15" s="3">
        <v>0.22185717831491519</v>
      </c>
    </row>
    <row r="16" spans="1:6" x14ac:dyDescent="0.35">
      <c r="A16" s="2"/>
      <c r="B16" s="2"/>
      <c r="C16" t="s">
        <v>35</v>
      </c>
      <c r="D16" s="3">
        <v>-3.6482891875824867E-2</v>
      </c>
      <c r="E16" s="3">
        <v>-0.13753372879618969</v>
      </c>
      <c r="F16" s="3">
        <v>-1.110044510655152</v>
      </c>
    </row>
    <row r="17" spans="1:6" x14ac:dyDescent="0.35">
      <c r="A17" s="2"/>
      <c r="B17" s="2" t="s">
        <v>18</v>
      </c>
      <c r="C17" t="s">
        <v>28</v>
      </c>
      <c r="D17" s="3">
        <v>0.51727548312967908</v>
      </c>
      <c r="E17" s="3">
        <v>1.057490183746103</v>
      </c>
      <c r="F17" s="3">
        <v>0.74077256136988545</v>
      </c>
    </row>
    <row r="18" spans="1:6" x14ac:dyDescent="0.35">
      <c r="A18" s="2"/>
      <c r="B18" s="2"/>
      <c r="C18" t="s">
        <v>14</v>
      </c>
      <c r="D18" s="3">
        <v>0.31160918620253558</v>
      </c>
      <c r="E18" s="3">
        <v>0.52619245866410247</v>
      </c>
      <c r="F18" s="3">
        <v>0.19929879601748851</v>
      </c>
    </row>
    <row r="19" spans="1:6" x14ac:dyDescent="0.35">
      <c r="A19" s="2"/>
      <c r="B19" s="2"/>
      <c r="C19" t="s">
        <v>35</v>
      </c>
      <c r="D19" s="3">
        <v>0.15034355093183191</v>
      </c>
      <c r="E19" s="3">
        <v>0.28056645860816892</v>
      </c>
      <c r="F19" s="3">
        <v>-0.22571484872071351</v>
      </c>
    </row>
  </sheetData>
  <mergeCells count="9">
    <mergeCell ref="A8:A13"/>
    <mergeCell ref="B17:B19"/>
    <mergeCell ref="A2:A7"/>
    <mergeCell ref="B14:B16"/>
    <mergeCell ref="B11:B13"/>
    <mergeCell ref="B8:B10"/>
    <mergeCell ref="B2:B4"/>
    <mergeCell ref="A14:A19"/>
    <mergeCell ref="B5:B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24</v>
      </c>
      <c r="E1" t="s">
        <v>15</v>
      </c>
      <c r="F1" t="s">
        <v>20</v>
      </c>
    </row>
    <row r="2" spans="1:6" x14ac:dyDescent="0.35">
      <c r="A2" s="2" t="s">
        <v>12</v>
      </c>
      <c r="B2" s="2" t="s">
        <v>13</v>
      </c>
      <c r="C2" t="s">
        <v>28</v>
      </c>
      <c r="D2">
        <v>0.34213248816240233</v>
      </c>
      <c r="E2">
        <v>0.28171796544906608</v>
      </c>
      <c r="F2">
        <v>0.1647276357648855</v>
      </c>
    </row>
    <row r="3" spans="1:6" x14ac:dyDescent="0.35">
      <c r="A3" s="2"/>
      <c r="B3" s="2"/>
      <c r="C3" t="s">
        <v>14</v>
      </c>
      <c r="D3">
        <v>8.9434821369187262E-2</v>
      </c>
      <c r="E3">
        <v>2.8164917597274339E-2</v>
      </c>
      <c r="F3">
        <v>0.71280356839614067</v>
      </c>
    </row>
    <row r="4" spans="1:6" x14ac:dyDescent="0.35">
      <c r="A4" s="2"/>
      <c r="B4" s="2"/>
      <c r="C4" t="s">
        <v>35</v>
      </c>
      <c r="D4">
        <v>0.31742947447623898</v>
      </c>
      <c r="E4">
        <v>2.0100974391982721E-2</v>
      </c>
      <c r="F4">
        <v>0.42345553056962942</v>
      </c>
    </row>
    <row r="5" spans="1:6" x14ac:dyDescent="0.35">
      <c r="A5" s="2"/>
      <c r="B5" s="2" t="s">
        <v>18</v>
      </c>
      <c r="C5" t="s">
        <v>28</v>
      </c>
      <c r="D5">
        <v>0.29724994786882042</v>
      </c>
      <c r="E5">
        <v>0.1107614060200359</v>
      </c>
      <c r="F5">
        <v>0.10103375575414229</v>
      </c>
    </row>
    <row r="6" spans="1:6" x14ac:dyDescent="0.35">
      <c r="A6" s="2"/>
      <c r="B6" s="2"/>
      <c r="C6" t="s">
        <v>14</v>
      </c>
      <c r="D6">
        <v>0.11530026561157659</v>
      </c>
      <c r="E6">
        <v>2.1688234792893189E-2</v>
      </c>
      <c r="F6">
        <v>0.86348046703892578</v>
      </c>
    </row>
    <row r="7" spans="1:6" x14ac:dyDescent="0.35">
      <c r="A7" s="2"/>
      <c r="B7" s="2"/>
      <c r="C7" t="s">
        <v>35</v>
      </c>
      <c r="D7">
        <v>0.32984362075927942</v>
      </c>
      <c r="E7">
        <v>1.8966287016990512E-2</v>
      </c>
      <c r="F7">
        <v>0.78189766524496107</v>
      </c>
    </row>
    <row r="8" spans="1:6" x14ac:dyDescent="0.35">
      <c r="A8" s="2" t="s">
        <v>42</v>
      </c>
      <c r="B8" s="2" t="s">
        <v>13</v>
      </c>
      <c r="C8" t="s">
        <v>28</v>
      </c>
      <c r="D8">
        <v>0.53731427271036081</v>
      </c>
      <c r="E8">
        <v>5.2033534662067393E-2</v>
      </c>
      <c r="F8">
        <v>6.466161241840572E-2</v>
      </c>
    </row>
    <row r="9" spans="1:6" x14ac:dyDescent="0.35">
      <c r="A9" s="2"/>
      <c r="B9" s="2"/>
      <c r="C9" t="s">
        <v>14</v>
      </c>
      <c r="D9">
        <v>0.40556002229734711</v>
      </c>
      <c r="E9">
        <v>7.3738631356239266E-3</v>
      </c>
      <c r="F9">
        <v>0.93277064647902408</v>
      </c>
    </row>
    <row r="10" spans="1:6" x14ac:dyDescent="0.35">
      <c r="A10" s="2"/>
      <c r="B10" s="2"/>
      <c r="C10" t="s">
        <v>35</v>
      </c>
      <c r="D10">
        <v>0.65132039809724884</v>
      </c>
      <c r="E10">
        <v>8.2963578113708341E-3</v>
      </c>
      <c r="F10">
        <v>0.28785116037520447</v>
      </c>
    </row>
    <row r="11" spans="1:6" x14ac:dyDescent="0.35">
      <c r="A11" s="2"/>
      <c r="B11" s="2" t="s">
        <v>18</v>
      </c>
      <c r="C11" t="s">
        <v>28</v>
      </c>
      <c r="D11">
        <v>8.6417157135835213E-2</v>
      </c>
      <c r="E11">
        <v>1.701655921571578E-3</v>
      </c>
      <c r="F11">
        <v>0.7133893796182833</v>
      </c>
    </row>
    <row r="12" spans="1:6" x14ac:dyDescent="0.35">
      <c r="A12" s="2"/>
      <c r="B12" s="2"/>
      <c r="C12" t="s">
        <v>14</v>
      </c>
      <c r="D12">
        <v>0.72773133312661398</v>
      </c>
      <c r="E12">
        <v>1.502255501386739E-2</v>
      </c>
      <c r="F12">
        <v>0.36894992201334742</v>
      </c>
    </row>
    <row r="13" spans="1:6" x14ac:dyDescent="0.35">
      <c r="A13" s="2"/>
      <c r="B13" s="2"/>
      <c r="C13" t="s">
        <v>35</v>
      </c>
      <c r="D13">
        <v>0.95855572102287034</v>
      </c>
      <c r="E13">
        <v>1.514775615859288E-2</v>
      </c>
      <c r="F13">
        <v>0.60679627042305417</v>
      </c>
    </row>
    <row r="14" spans="1:6" x14ac:dyDescent="0.35">
      <c r="A14" s="2" t="s">
        <v>62</v>
      </c>
      <c r="B14" s="2" t="s">
        <v>13</v>
      </c>
      <c r="C14" t="s">
        <v>28</v>
      </c>
      <c r="D14">
        <v>8.5575019768940989E-3</v>
      </c>
      <c r="E14">
        <v>1.459149675277357E-2</v>
      </c>
      <c r="F14">
        <v>0.1097831440771105</v>
      </c>
    </row>
    <row r="15" spans="1:6" x14ac:dyDescent="0.35">
      <c r="A15" s="2"/>
      <c r="B15" s="2"/>
      <c r="C15" t="s">
        <v>14</v>
      </c>
      <c r="D15">
        <v>8.9065146903425485E-2</v>
      </c>
      <c r="E15">
        <v>0.39942725884593122</v>
      </c>
      <c r="F15">
        <v>0.50269706580640139</v>
      </c>
    </row>
    <row r="16" spans="1:6" x14ac:dyDescent="0.35">
      <c r="A16" s="2"/>
      <c r="B16" s="2"/>
      <c r="C16" t="s">
        <v>35</v>
      </c>
      <c r="D16">
        <v>0.82619974878880931</v>
      </c>
      <c r="E16">
        <v>0.4642915773723626</v>
      </c>
      <c r="F16">
        <v>2.5016814349958609E-2</v>
      </c>
    </row>
    <row r="17" spans="1:6" x14ac:dyDescent="0.35">
      <c r="A17" s="2"/>
      <c r="B17" s="2" t="s">
        <v>18</v>
      </c>
      <c r="C17" t="s">
        <v>28</v>
      </c>
      <c r="D17">
        <v>1.606791836848296E-2</v>
      </c>
      <c r="E17">
        <v>1.3323419987159521E-3</v>
      </c>
      <c r="F17">
        <v>3.9924095903279208E-2</v>
      </c>
    </row>
    <row r="18" spans="1:6" x14ac:dyDescent="0.35">
      <c r="A18" s="2"/>
      <c r="B18" s="2"/>
      <c r="C18" t="s">
        <v>14</v>
      </c>
      <c r="D18">
        <v>4.918065751742938E-2</v>
      </c>
      <c r="E18">
        <v>9.6658184636314134E-2</v>
      </c>
      <c r="F18">
        <v>0.38399177013507219</v>
      </c>
    </row>
    <row r="19" spans="1:6" x14ac:dyDescent="0.35">
      <c r="A19" s="2"/>
      <c r="B19" s="2"/>
      <c r="C19" t="s">
        <v>35</v>
      </c>
      <c r="D19">
        <v>0.52425222145029615</v>
      </c>
      <c r="E19">
        <v>0.51087051643282999</v>
      </c>
      <c r="F19">
        <v>0.40372998487300538</v>
      </c>
    </row>
  </sheetData>
  <mergeCells count="9">
    <mergeCell ref="A8:A13"/>
    <mergeCell ref="B17:B19"/>
    <mergeCell ref="A2:A7"/>
    <mergeCell ref="B14:B16"/>
    <mergeCell ref="B11:B13"/>
    <mergeCell ref="B8:B10"/>
    <mergeCell ref="B2:B4"/>
    <mergeCell ref="A14:A19"/>
    <mergeCell ref="B5:B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3"/>
  <sheetViews>
    <sheetView workbookViewId="0">
      <selection activeCell="B33" sqref="B33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24</v>
      </c>
      <c r="E1" t="s">
        <v>15</v>
      </c>
      <c r="F1" t="s">
        <v>20</v>
      </c>
    </row>
    <row r="2" spans="1:6" x14ac:dyDescent="0.35">
      <c r="A2" s="2" t="s">
        <v>12</v>
      </c>
      <c r="B2" s="2" t="s">
        <v>13</v>
      </c>
      <c r="C2" t="s">
        <v>28</v>
      </c>
      <c r="D2">
        <v>0.69122077422328221</v>
      </c>
      <c r="E2">
        <v>0.73720372253354571</v>
      </c>
      <c r="F2">
        <v>0.5804851381509637</v>
      </c>
    </row>
    <row r="3" spans="1:6" x14ac:dyDescent="0.35">
      <c r="A3" s="2"/>
      <c r="B3" s="2"/>
      <c r="C3" t="s">
        <v>14</v>
      </c>
      <c r="D3">
        <v>0.91349822893382071</v>
      </c>
      <c r="E3">
        <v>0.95820938013756629</v>
      </c>
      <c r="F3">
        <v>0.8922034970493351</v>
      </c>
    </row>
    <row r="4" spans="1:6" x14ac:dyDescent="0.35">
      <c r="A4" s="2"/>
      <c r="B4" s="2"/>
      <c r="C4" t="s">
        <v>35</v>
      </c>
      <c r="D4">
        <v>0.87833073578014287</v>
      </c>
      <c r="E4">
        <v>0.9310281514242833</v>
      </c>
      <c r="F4">
        <v>0.88075597122113014</v>
      </c>
    </row>
    <row r="5" spans="1:6" x14ac:dyDescent="0.35">
      <c r="A5" s="2"/>
      <c r="B5" s="2" t="s">
        <v>18</v>
      </c>
      <c r="C5" t="s">
        <v>28</v>
      </c>
      <c r="D5">
        <v>0.69191828357043561</v>
      </c>
      <c r="E5">
        <v>0.74431968054352649</v>
      </c>
      <c r="F5">
        <v>0.58540120620455416</v>
      </c>
    </row>
    <row r="6" spans="1:6" x14ac:dyDescent="0.35">
      <c r="A6" s="2"/>
      <c r="B6" s="2"/>
      <c r="C6" t="s">
        <v>14</v>
      </c>
      <c r="D6">
        <v>0.91346352061903646</v>
      </c>
      <c r="E6">
        <v>0.95863468955856512</v>
      </c>
      <c r="F6">
        <v>0.89212236032398728</v>
      </c>
    </row>
    <row r="7" spans="1:6" x14ac:dyDescent="0.35">
      <c r="A7" s="2"/>
      <c r="B7" s="2"/>
      <c r="C7" t="s">
        <v>35</v>
      </c>
      <c r="D7">
        <v>0.87841700995675243</v>
      </c>
      <c r="E7">
        <v>0.93235250735582809</v>
      </c>
      <c r="F7">
        <v>0.88017227363551198</v>
      </c>
    </row>
    <row r="8" spans="1:6" x14ac:dyDescent="0.35">
      <c r="A8" s="2" t="s">
        <v>42</v>
      </c>
      <c r="B8" s="2" t="s">
        <v>13</v>
      </c>
      <c r="C8" t="s">
        <v>28</v>
      </c>
      <c r="D8">
        <v>0.91532527227100724</v>
      </c>
      <c r="E8">
        <v>0.83908323919917427</v>
      </c>
      <c r="F8">
        <v>0.92000923935233225</v>
      </c>
    </row>
    <row r="9" spans="1:6" x14ac:dyDescent="0.35">
      <c r="A9" s="2"/>
      <c r="B9" s="2"/>
      <c r="C9" t="s">
        <v>14</v>
      </c>
      <c r="D9">
        <v>0.92424800433147614</v>
      </c>
      <c r="E9">
        <v>0.91289672944042588</v>
      </c>
      <c r="F9">
        <v>0.93285388403556402</v>
      </c>
    </row>
    <row r="10" spans="1:6" x14ac:dyDescent="0.35">
      <c r="A10" s="2"/>
      <c r="B10" s="2"/>
      <c r="C10" t="s">
        <v>35</v>
      </c>
      <c r="D10">
        <v>0.89183371761743579</v>
      </c>
      <c r="E10">
        <v>0.85095152553628239</v>
      </c>
      <c r="F10">
        <v>0.90324851377745297</v>
      </c>
    </row>
    <row r="11" spans="1:6" x14ac:dyDescent="0.35">
      <c r="A11" s="2"/>
      <c r="B11" s="2" t="s">
        <v>18</v>
      </c>
      <c r="C11" t="s">
        <v>28</v>
      </c>
      <c r="D11">
        <v>0.91663264791401688</v>
      </c>
      <c r="E11">
        <v>0.8567511200615987</v>
      </c>
      <c r="F11">
        <v>0.91795307087006428</v>
      </c>
    </row>
    <row r="12" spans="1:6" x14ac:dyDescent="0.35">
      <c r="A12" s="2"/>
      <c r="B12" s="2"/>
      <c r="C12" t="s">
        <v>14</v>
      </c>
      <c r="D12">
        <v>0.92409622065823338</v>
      </c>
      <c r="E12">
        <v>0.91430803019129048</v>
      </c>
      <c r="F12">
        <v>0.93318369088928155</v>
      </c>
    </row>
    <row r="13" spans="1:6" x14ac:dyDescent="0.35">
      <c r="A13" s="2"/>
      <c r="B13" s="2"/>
      <c r="C13" t="s">
        <v>35</v>
      </c>
      <c r="D13">
        <v>0.89167940371723531</v>
      </c>
      <c r="E13">
        <v>0.85287265919564559</v>
      </c>
      <c r="F13">
        <v>0.90183574657372945</v>
      </c>
    </row>
    <row r="14" spans="1:6" x14ac:dyDescent="0.35">
      <c r="A14" s="2" t="s">
        <v>62</v>
      </c>
      <c r="B14" s="2" t="s">
        <v>13</v>
      </c>
      <c r="C14" t="s">
        <v>28</v>
      </c>
      <c r="D14">
        <v>0.76985050556813106</v>
      </c>
      <c r="E14">
        <v>0.86899826887279052</v>
      </c>
      <c r="F14">
        <v>0.74992856785247597</v>
      </c>
    </row>
    <row r="15" spans="1:6" x14ac:dyDescent="0.35">
      <c r="A15" s="2"/>
      <c r="B15" s="2"/>
      <c r="C15" t="s">
        <v>14</v>
      </c>
      <c r="D15">
        <v>0.91523563352089243</v>
      </c>
      <c r="E15">
        <v>0.95175735030460173</v>
      </c>
      <c r="F15">
        <v>0.90602998301469029</v>
      </c>
    </row>
    <row r="16" spans="1:6" x14ac:dyDescent="0.35">
      <c r="A16" s="2"/>
      <c r="B16" s="2"/>
      <c r="C16" t="s">
        <v>35</v>
      </c>
      <c r="D16">
        <v>0.88954319389269287</v>
      </c>
      <c r="E16">
        <v>0.92133170588380353</v>
      </c>
      <c r="F16">
        <v>0.92343186179710846</v>
      </c>
    </row>
    <row r="17" spans="1:6" x14ac:dyDescent="0.35">
      <c r="A17" s="2"/>
      <c r="B17" s="2" t="s">
        <v>18</v>
      </c>
      <c r="C17" t="s">
        <v>28</v>
      </c>
      <c r="D17">
        <v>0.7684224330042474</v>
      </c>
      <c r="E17">
        <v>0.87793905068440137</v>
      </c>
      <c r="F17">
        <v>0.75238948923091031</v>
      </c>
    </row>
    <row r="18" spans="1:6" x14ac:dyDescent="0.35">
      <c r="A18" s="2"/>
      <c r="B18" s="2"/>
      <c r="C18" t="s">
        <v>14</v>
      </c>
      <c r="D18">
        <v>0.91517368595209514</v>
      </c>
      <c r="E18">
        <v>0.95340979851793195</v>
      </c>
      <c r="F18">
        <v>0.9061276145389271</v>
      </c>
    </row>
    <row r="19" spans="1:6" x14ac:dyDescent="0.35">
      <c r="A19" s="2"/>
      <c r="B19" s="2"/>
      <c r="C19" t="s">
        <v>35</v>
      </c>
      <c r="D19">
        <v>0.88991014799708212</v>
      </c>
      <c r="E19">
        <v>0.92158073556150399</v>
      </c>
      <c r="F19">
        <v>0.91757417020102183</v>
      </c>
    </row>
    <row r="33" ht="14" customHeight="1" x14ac:dyDescent="0.35"/>
  </sheetData>
  <mergeCells count="9">
    <mergeCell ref="A8:A13"/>
    <mergeCell ref="B17:B19"/>
    <mergeCell ref="A2:A7"/>
    <mergeCell ref="B14:B16"/>
    <mergeCell ref="B11:B13"/>
    <mergeCell ref="B8:B10"/>
    <mergeCell ref="B2:B4"/>
    <mergeCell ref="A14:A19"/>
    <mergeCell ref="B5:B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55"/>
  <sheetViews>
    <sheetView workbookViewId="0"/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88</v>
      </c>
      <c r="N1" t="s">
        <v>89</v>
      </c>
    </row>
    <row r="2" spans="1:14" x14ac:dyDescent="0.35">
      <c r="A2" t="s">
        <v>12</v>
      </c>
      <c r="B2" t="s">
        <v>13</v>
      </c>
      <c r="C2" t="s">
        <v>14</v>
      </c>
      <c r="D2" t="s">
        <v>15</v>
      </c>
      <c r="E2">
        <v>118</v>
      </c>
      <c r="F2">
        <v>2.6291735222785348</v>
      </c>
      <c r="G2" t="s">
        <v>90</v>
      </c>
      <c r="H2">
        <v>1.0648410649853239</v>
      </c>
      <c r="I2">
        <v>44.565619016648441</v>
      </c>
      <c r="J2">
        <v>0.1061169388175732</v>
      </c>
      <c r="K2" t="s">
        <v>91</v>
      </c>
      <c r="L2">
        <v>6.7838258117594086E-2</v>
      </c>
      <c r="M2">
        <v>0.96664967534565338</v>
      </c>
      <c r="N2" t="s">
        <v>92</v>
      </c>
    </row>
    <row r="3" spans="1:14" x14ac:dyDescent="0.35">
      <c r="A3" t="s">
        <v>12</v>
      </c>
      <c r="B3" t="s">
        <v>18</v>
      </c>
      <c r="C3" t="s">
        <v>14</v>
      </c>
      <c r="D3" t="s">
        <v>15</v>
      </c>
      <c r="E3">
        <v>118</v>
      </c>
      <c r="F3">
        <v>2.6158381614339028</v>
      </c>
      <c r="G3" t="s">
        <v>90</v>
      </c>
      <c r="H3">
        <v>1.049151873616639</v>
      </c>
      <c r="I3">
        <v>46.147597931441318</v>
      </c>
      <c r="J3">
        <v>7.9881625756867122E-2</v>
      </c>
      <c r="K3" t="s">
        <v>91</v>
      </c>
      <c r="L3">
        <v>6.7084077512994347E-2</v>
      </c>
      <c r="M3">
        <v>0.96701425829997556</v>
      </c>
      <c r="N3" t="s">
        <v>92</v>
      </c>
    </row>
    <row r="4" spans="1:14" x14ac:dyDescent="0.35">
      <c r="A4" t="s">
        <v>12</v>
      </c>
      <c r="B4" t="s">
        <v>13</v>
      </c>
      <c r="C4" t="s">
        <v>14</v>
      </c>
      <c r="D4" t="s">
        <v>20</v>
      </c>
      <c r="E4">
        <v>158</v>
      </c>
      <c r="F4">
        <v>2.0262662406581011</v>
      </c>
      <c r="G4" t="s">
        <v>93</v>
      </c>
      <c r="H4">
        <v>1.1818192156309739</v>
      </c>
      <c r="I4">
        <v>50.872596073131213</v>
      </c>
      <c r="J4">
        <v>5.1227845965019433E-2</v>
      </c>
      <c r="K4" t="s">
        <v>91</v>
      </c>
      <c r="L4">
        <v>1.23282039961366</v>
      </c>
      <c r="M4">
        <v>0.53987902094698537</v>
      </c>
      <c r="N4" t="s">
        <v>92</v>
      </c>
    </row>
    <row r="5" spans="1:14" x14ac:dyDescent="0.35">
      <c r="A5" t="s">
        <v>12</v>
      </c>
      <c r="B5" t="s">
        <v>18</v>
      </c>
      <c r="C5" t="s">
        <v>14</v>
      </c>
      <c r="D5" t="s">
        <v>20</v>
      </c>
      <c r="E5">
        <v>158</v>
      </c>
      <c r="F5">
        <v>2.0252782487289722</v>
      </c>
      <c r="G5" t="s">
        <v>93</v>
      </c>
      <c r="H5">
        <v>1.164951407605558</v>
      </c>
      <c r="I5">
        <v>50.850954496093067</v>
      </c>
      <c r="J5">
        <v>5.1441564517011283E-2</v>
      </c>
      <c r="K5" t="s">
        <v>91</v>
      </c>
      <c r="L5">
        <v>1.2153219779160549</v>
      </c>
      <c r="M5">
        <v>0.54462326024532814</v>
      </c>
      <c r="N5" t="s">
        <v>92</v>
      </c>
    </row>
    <row r="6" spans="1:14" x14ac:dyDescent="0.35">
      <c r="A6" t="s">
        <v>12</v>
      </c>
      <c r="B6" t="s">
        <v>13</v>
      </c>
      <c r="C6" t="s">
        <v>14</v>
      </c>
      <c r="D6" t="s">
        <v>24</v>
      </c>
      <c r="E6">
        <v>276</v>
      </c>
      <c r="F6">
        <v>1.9832307245041989</v>
      </c>
      <c r="G6" t="s">
        <v>93</v>
      </c>
      <c r="H6">
        <v>1.045832876026296</v>
      </c>
      <c r="I6">
        <v>62.541450039367369</v>
      </c>
      <c r="J6">
        <v>7.3177137342794862E-3</v>
      </c>
      <c r="K6" t="s">
        <v>92</v>
      </c>
      <c r="L6">
        <v>16.052187808974189</v>
      </c>
      <c r="M6">
        <v>3.2682231809461607E-4</v>
      </c>
      <c r="N6" t="s">
        <v>91</v>
      </c>
    </row>
    <row r="7" spans="1:14" x14ac:dyDescent="0.35">
      <c r="A7" t="s">
        <v>12</v>
      </c>
      <c r="B7" t="s">
        <v>18</v>
      </c>
      <c r="C7" t="s">
        <v>14</v>
      </c>
      <c r="D7" t="s">
        <v>24</v>
      </c>
      <c r="E7">
        <v>276</v>
      </c>
      <c r="F7">
        <v>1.985112598013981</v>
      </c>
      <c r="G7" t="s">
        <v>93</v>
      </c>
      <c r="H7">
        <v>1.044680282341069</v>
      </c>
      <c r="I7">
        <v>62.870453688668569</v>
      </c>
      <c r="J7">
        <v>6.78498888826336E-3</v>
      </c>
      <c r="K7" t="s">
        <v>92</v>
      </c>
      <c r="L7">
        <v>15.68454796562582</v>
      </c>
      <c r="M7">
        <v>3.9277486108246122E-4</v>
      </c>
      <c r="N7" t="s">
        <v>91</v>
      </c>
    </row>
    <row r="8" spans="1:14" x14ac:dyDescent="0.35">
      <c r="A8" t="s">
        <v>12</v>
      </c>
      <c r="B8" t="s">
        <v>13</v>
      </c>
      <c r="C8" t="s">
        <v>28</v>
      </c>
      <c r="D8" t="s">
        <v>15</v>
      </c>
      <c r="E8">
        <v>65</v>
      </c>
      <c r="F8">
        <v>2.9241742733680529</v>
      </c>
      <c r="G8" t="s">
        <v>90</v>
      </c>
      <c r="H8">
        <v>1.0370793184219449</v>
      </c>
      <c r="I8">
        <v>31.330253301615919</v>
      </c>
      <c r="J8">
        <v>0.11489343364804259</v>
      </c>
      <c r="K8" t="s">
        <v>91</v>
      </c>
      <c r="L8">
        <v>0.71027318547037877</v>
      </c>
      <c r="M8">
        <v>0.70107767455092274</v>
      </c>
      <c r="N8" t="s">
        <v>92</v>
      </c>
    </row>
    <row r="9" spans="1:14" x14ac:dyDescent="0.35">
      <c r="A9" t="s">
        <v>12</v>
      </c>
      <c r="B9" t="s">
        <v>18</v>
      </c>
      <c r="C9" t="s">
        <v>28</v>
      </c>
      <c r="D9" t="s">
        <v>15</v>
      </c>
      <c r="E9">
        <v>65</v>
      </c>
      <c r="F9">
        <v>2.9363869320518479</v>
      </c>
      <c r="G9" t="s">
        <v>90</v>
      </c>
      <c r="H9">
        <v>1.049627613580765</v>
      </c>
      <c r="I9">
        <v>31.784714107844451</v>
      </c>
      <c r="J9">
        <v>0.1047041169096856</v>
      </c>
      <c r="K9" t="s">
        <v>91</v>
      </c>
      <c r="L9">
        <v>0.34770629709981171</v>
      </c>
      <c r="M9">
        <v>0.84042030553745339</v>
      </c>
      <c r="N9" t="s">
        <v>92</v>
      </c>
    </row>
    <row r="10" spans="1:14" x14ac:dyDescent="0.35">
      <c r="A10" t="s">
        <v>12</v>
      </c>
      <c r="B10" t="s">
        <v>13</v>
      </c>
      <c r="C10" t="s">
        <v>28</v>
      </c>
      <c r="D10" t="s">
        <v>20</v>
      </c>
      <c r="E10">
        <v>91</v>
      </c>
      <c r="F10">
        <v>2.067944794430749</v>
      </c>
      <c r="G10" t="s">
        <v>93</v>
      </c>
      <c r="H10">
        <v>1.0862466475582711</v>
      </c>
      <c r="I10">
        <v>36.774728303761748</v>
      </c>
      <c r="J10">
        <v>7.8314602532098335E-2</v>
      </c>
      <c r="K10" t="s">
        <v>91</v>
      </c>
      <c r="L10">
        <v>0.50962778011855503</v>
      </c>
      <c r="M10">
        <v>0.77506073104577045</v>
      </c>
      <c r="N10" t="s">
        <v>92</v>
      </c>
    </row>
    <row r="11" spans="1:14" x14ac:dyDescent="0.35">
      <c r="A11" t="s">
        <v>12</v>
      </c>
      <c r="B11" t="s">
        <v>18</v>
      </c>
      <c r="C11" t="s">
        <v>28</v>
      </c>
      <c r="D11" t="s">
        <v>20</v>
      </c>
      <c r="E11">
        <v>91</v>
      </c>
      <c r="F11">
        <v>2.0903718634935542</v>
      </c>
      <c r="G11" t="s">
        <v>93</v>
      </c>
      <c r="H11">
        <v>1.1201952147098779</v>
      </c>
      <c r="I11">
        <v>36.797840989977978</v>
      </c>
      <c r="J11">
        <v>7.794279804201161E-2</v>
      </c>
      <c r="K11" t="s">
        <v>91</v>
      </c>
      <c r="L11">
        <v>0.52977291796302783</v>
      </c>
      <c r="M11">
        <v>0.76729306426623356</v>
      </c>
      <c r="N11" t="s">
        <v>92</v>
      </c>
    </row>
    <row r="12" spans="1:14" x14ac:dyDescent="0.35">
      <c r="A12" t="s">
        <v>12</v>
      </c>
      <c r="B12" t="s">
        <v>13</v>
      </c>
      <c r="C12" t="s">
        <v>28</v>
      </c>
      <c r="D12" t="s">
        <v>24</v>
      </c>
      <c r="E12">
        <v>156</v>
      </c>
      <c r="F12">
        <v>1.9761509408630851</v>
      </c>
      <c r="G12" t="s">
        <v>93</v>
      </c>
      <c r="H12">
        <v>1.0447034358434519</v>
      </c>
      <c r="I12">
        <v>37.481264964303371</v>
      </c>
      <c r="J12">
        <v>0.10862143101535331</v>
      </c>
      <c r="K12" t="s">
        <v>91</v>
      </c>
      <c r="L12">
        <v>15.05078285066884</v>
      </c>
      <c r="M12">
        <v>5.3921756366477256E-4</v>
      </c>
      <c r="N12" t="s">
        <v>91</v>
      </c>
    </row>
    <row r="13" spans="1:14" x14ac:dyDescent="0.35">
      <c r="A13" t="s">
        <v>12</v>
      </c>
      <c r="B13" t="s">
        <v>18</v>
      </c>
      <c r="C13" t="s">
        <v>28</v>
      </c>
      <c r="D13" t="s">
        <v>24</v>
      </c>
      <c r="E13">
        <v>156</v>
      </c>
      <c r="F13">
        <v>1.980578212666749</v>
      </c>
      <c r="G13" t="s">
        <v>93</v>
      </c>
      <c r="H13">
        <v>1.0586102832158779</v>
      </c>
      <c r="I13">
        <v>37.727208414445151</v>
      </c>
      <c r="J13">
        <v>0.1036717995594673</v>
      </c>
      <c r="K13" t="s">
        <v>91</v>
      </c>
      <c r="L13">
        <v>15.63340768133734</v>
      </c>
      <c r="M13">
        <v>4.0294767600268391E-4</v>
      </c>
      <c r="N13" t="s">
        <v>91</v>
      </c>
    </row>
    <row r="14" spans="1:14" x14ac:dyDescent="0.35">
      <c r="A14" t="s">
        <v>12</v>
      </c>
      <c r="B14" t="s">
        <v>13</v>
      </c>
      <c r="C14" t="s">
        <v>35</v>
      </c>
      <c r="D14" t="s">
        <v>15</v>
      </c>
      <c r="E14">
        <v>53</v>
      </c>
      <c r="F14">
        <v>2.3897396056784528</v>
      </c>
      <c r="G14" t="s">
        <v>93</v>
      </c>
      <c r="H14">
        <v>1.1090538848602121</v>
      </c>
      <c r="I14">
        <v>27.29849142187425</v>
      </c>
      <c r="J14">
        <v>0.12707310551949549</v>
      </c>
      <c r="K14" t="s">
        <v>91</v>
      </c>
      <c r="L14">
        <v>2.0729145106204059</v>
      </c>
      <c r="M14">
        <v>0.35470910239001108</v>
      </c>
      <c r="N14" t="s">
        <v>92</v>
      </c>
    </row>
    <row r="15" spans="1:14" x14ac:dyDescent="0.35">
      <c r="A15" t="s">
        <v>12</v>
      </c>
      <c r="B15" t="s">
        <v>18</v>
      </c>
      <c r="C15" t="s">
        <v>35</v>
      </c>
      <c r="D15" t="s">
        <v>15</v>
      </c>
      <c r="E15">
        <v>53</v>
      </c>
      <c r="F15">
        <v>2.377968185790071</v>
      </c>
      <c r="G15" t="s">
        <v>93</v>
      </c>
      <c r="H15">
        <v>1.103085173899955</v>
      </c>
      <c r="I15">
        <v>27.686827289341601</v>
      </c>
      <c r="J15">
        <v>0.11702257518713691</v>
      </c>
      <c r="K15" t="s">
        <v>91</v>
      </c>
      <c r="L15">
        <v>2.0362234875629559</v>
      </c>
      <c r="M15">
        <v>0.36127647906875382</v>
      </c>
      <c r="N15" t="s">
        <v>92</v>
      </c>
    </row>
    <row r="16" spans="1:14" x14ac:dyDescent="0.35">
      <c r="A16" t="s">
        <v>12</v>
      </c>
      <c r="B16" t="s">
        <v>13</v>
      </c>
      <c r="C16" t="s">
        <v>35</v>
      </c>
      <c r="D16" t="s">
        <v>20</v>
      </c>
      <c r="E16">
        <v>67</v>
      </c>
      <c r="F16">
        <v>2.241022913889946</v>
      </c>
      <c r="G16" t="s">
        <v>93</v>
      </c>
      <c r="H16">
        <v>1.6619063690273499</v>
      </c>
      <c r="I16">
        <v>24.333177818472471</v>
      </c>
      <c r="J16">
        <v>0.38555558761295272</v>
      </c>
      <c r="K16" t="s">
        <v>91</v>
      </c>
      <c r="L16">
        <v>2.3347914293320091</v>
      </c>
      <c r="M16">
        <v>0.31117627875422499</v>
      </c>
      <c r="N16" t="s">
        <v>92</v>
      </c>
    </row>
    <row r="17" spans="1:14" x14ac:dyDescent="0.35">
      <c r="A17" t="s">
        <v>12</v>
      </c>
      <c r="B17" t="s">
        <v>18</v>
      </c>
      <c r="C17" t="s">
        <v>35</v>
      </c>
      <c r="D17" t="s">
        <v>20</v>
      </c>
      <c r="E17">
        <v>67</v>
      </c>
      <c r="F17">
        <v>2.2199153903931599</v>
      </c>
      <c r="G17" t="s">
        <v>93</v>
      </c>
      <c r="H17">
        <v>1.7888809923282329</v>
      </c>
      <c r="I17">
        <v>24.832328324581951</v>
      </c>
      <c r="J17">
        <v>0.35898814808160101</v>
      </c>
      <c r="K17" t="s">
        <v>91</v>
      </c>
      <c r="L17">
        <v>2.4913126120932358</v>
      </c>
      <c r="M17">
        <v>0.28775199277162261</v>
      </c>
      <c r="N17" t="s">
        <v>92</v>
      </c>
    </row>
    <row r="18" spans="1:14" x14ac:dyDescent="0.35">
      <c r="A18" t="s">
        <v>12</v>
      </c>
      <c r="B18" t="s">
        <v>13</v>
      </c>
      <c r="C18" t="s">
        <v>35</v>
      </c>
      <c r="D18" t="s">
        <v>24</v>
      </c>
      <c r="E18">
        <v>120</v>
      </c>
      <c r="F18">
        <v>2.118809815769608</v>
      </c>
      <c r="G18" t="s">
        <v>93</v>
      </c>
      <c r="H18">
        <v>1.065203995814479</v>
      </c>
      <c r="I18">
        <v>30.87134918067499</v>
      </c>
      <c r="J18">
        <v>0.19331418316037369</v>
      </c>
      <c r="K18" t="s">
        <v>91</v>
      </c>
      <c r="L18">
        <v>0.32046823488141241</v>
      </c>
      <c r="M18">
        <v>0.85194431059481901</v>
      </c>
      <c r="N18" t="s">
        <v>92</v>
      </c>
    </row>
    <row r="19" spans="1:14" x14ac:dyDescent="0.35">
      <c r="A19" t="s">
        <v>12</v>
      </c>
      <c r="B19" t="s">
        <v>18</v>
      </c>
      <c r="C19" t="s">
        <v>35</v>
      </c>
      <c r="D19" t="s">
        <v>24</v>
      </c>
      <c r="E19">
        <v>120</v>
      </c>
      <c r="F19">
        <v>2.1201840088765209</v>
      </c>
      <c r="G19" t="s">
        <v>93</v>
      </c>
      <c r="H19">
        <v>1.089380441780017</v>
      </c>
      <c r="I19">
        <v>30.894884385924371</v>
      </c>
      <c r="J19">
        <v>0.1925230881207379</v>
      </c>
      <c r="K19" t="s">
        <v>91</v>
      </c>
      <c r="L19">
        <v>0.29447248819235378</v>
      </c>
      <c r="M19">
        <v>0.86309005339976075</v>
      </c>
      <c r="N19" t="s">
        <v>92</v>
      </c>
    </row>
    <row r="20" spans="1:14" x14ac:dyDescent="0.35">
      <c r="A20" t="s">
        <v>42</v>
      </c>
      <c r="B20" t="s">
        <v>13</v>
      </c>
      <c r="C20" t="s">
        <v>14</v>
      </c>
      <c r="D20" t="s">
        <v>15</v>
      </c>
      <c r="E20">
        <v>118</v>
      </c>
      <c r="F20">
        <v>2.3006056366490868</v>
      </c>
      <c r="G20" t="s">
        <v>93</v>
      </c>
      <c r="H20">
        <v>1.0751661385489311</v>
      </c>
      <c r="I20">
        <v>37.949522727438818</v>
      </c>
      <c r="J20">
        <v>0.29398726154144228</v>
      </c>
      <c r="K20" t="s">
        <v>91</v>
      </c>
      <c r="L20">
        <v>14.55361858091508</v>
      </c>
      <c r="M20">
        <v>6.9138806655226752E-4</v>
      </c>
      <c r="N20" t="s">
        <v>91</v>
      </c>
    </row>
    <row r="21" spans="1:14" x14ac:dyDescent="0.35">
      <c r="A21" t="s">
        <v>42</v>
      </c>
      <c r="B21" t="s">
        <v>18</v>
      </c>
      <c r="C21" t="s">
        <v>14</v>
      </c>
      <c r="D21" t="s">
        <v>15</v>
      </c>
      <c r="E21">
        <v>118</v>
      </c>
      <c r="F21">
        <v>2.3890325963020129</v>
      </c>
      <c r="G21" t="s">
        <v>93</v>
      </c>
      <c r="H21">
        <v>1.090376901004483</v>
      </c>
      <c r="I21">
        <v>38.338542533978689</v>
      </c>
      <c r="J21">
        <v>0.27913529100079681</v>
      </c>
      <c r="K21" t="s">
        <v>91</v>
      </c>
      <c r="L21">
        <v>13.917934944937571</v>
      </c>
      <c r="M21">
        <v>9.5007704898018689E-4</v>
      </c>
      <c r="N21" t="s">
        <v>91</v>
      </c>
    </row>
    <row r="22" spans="1:14" x14ac:dyDescent="0.35">
      <c r="A22" t="s">
        <v>42</v>
      </c>
      <c r="B22" t="s">
        <v>13</v>
      </c>
      <c r="C22" t="s">
        <v>14</v>
      </c>
      <c r="D22" t="s">
        <v>20</v>
      </c>
      <c r="E22">
        <v>158</v>
      </c>
      <c r="F22">
        <v>2.1377474852118308</v>
      </c>
      <c r="G22" t="s">
        <v>93</v>
      </c>
      <c r="H22">
        <v>1.2864462627504489</v>
      </c>
      <c r="I22">
        <v>49.854327241336563</v>
      </c>
      <c r="J22">
        <v>6.2149820857811823E-2</v>
      </c>
      <c r="K22" t="s">
        <v>91</v>
      </c>
      <c r="L22">
        <v>1.657956080022885</v>
      </c>
      <c r="M22">
        <v>0.43649513902820469</v>
      </c>
      <c r="N22" t="s">
        <v>92</v>
      </c>
    </row>
    <row r="23" spans="1:14" x14ac:dyDescent="0.35">
      <c r="A23" t="s">
        <v>42</v>
      </c>
      <c r="B23" t="s">
        <v>18</v>
      </c>
      <c r="C23" t="s">
        <v>14</v>
      </c>
      <c r="D23" t="s">
        <v>20</v>
      </c>
      <c r="E23">
        <v>158</v>
      </c>
      <c r="F23">
        <v>2.1653974091060189</v>
      </c>
      <c r="G23" t="s">
        <v>93</v>
      </c>
      <c r="H23">
        <v>1.097253590315366</v>
      </c>
      <c r="I23">
        <v>53.818930399921364</v>
      </c>
      <c r="J23">
        <v>2.8437581386068E-2</v>
      </c>
      <c r="K23" t="s">
        <v>92</v>
      </c>
      <c r="L23">
        <v>1.388851467321913</v>
      </c>
      <c r="M23">
        <v>0.49936113194988729</v>
      </c>
      <c r="N23" t="s">
        <v>92</v>
      </c>
    </row>
    <row r="24" spans="1:14" x14ac:dyDescent="0.35">
      <c r="A24" t="s">
        <v>42</v>
      </c>
      <c r="B24" t="s">
        <v>13</v>
      </c>
      <c r="C24" t="s">
        <v>14</v>
      </c>
      <c r="D24" t="s">
        <v>24</v>
      </c>
      <c r="E24">
        <v>276</v>
      </c>
      <c r="F24">
        <v>2.0618769307979479</v>
      </c>
      <c r="G24" t="s">
        <v>93</v>
      </c>
      <c r="H24">
        <v>1.08328608700811</v>
      </c>
      <c r="I24">
        <v>39.078879655690422</v>
      </c>
      <c r="J24">
        <v>0.42113455359902813</v>
      </c>
      <c r="K24" t="s">
        <v>91</v>
      </c>
      <c r="L24">
        <v>7.8768407235865814</v>
      </c>
      <c r="M24">
        <v>1.947896016537639E-2</v>
      </c>
      <c r="N24" t="s">
        <v>91</v>
      </c>
    </row>
    <row r="25" spans="1:14" x14ac:dyDescent="0.35">
      <c r="A25" t="s">
        <v>42</v>
      </c>
      <c r="B25" t="s">
        <v>18</v>
      </c>
      <c r="C25" t="s">
        <v>14</v>
      </c>
      <c r="D25" t="s">
        <v>24</v>
      </c>
      <c r="E25">
        <v>276</v>
      </c>
      <c r="F25">
        <v>2.0628931642924431</v>
      </c>
      <c r="G25" t="s">
        <v>93</v>
      </c>
      <c r="H25">
        <v>1.0247106458247339</v>
      </c>
      <c r="I25">
        <v>38.545201516658928</v>
      </c>
      <c r="J25">
        <v>0.44483642891177672</v>
      </c>
      <c r="K25" t="s">
        <v>91</v>
      </c>
      <c r="L25">
        <v>7.7776113226724224</v>
      </c>
      <c r="M25">
        <v>2.0469779293091579E-2</v>
      </c>
      <c r="N25" t="s">
        <v>91</v>
      </c>
    </row>
    <row r="26" spans="1:14" x14ac:dyDescent="0.35">
      <c r="A26" t="s">
        <v>42</v>
      </c>
      <c r="B26" t="s">
        <v>13</v>
      </c>
      <c r="C26" t="s">
        <v>28</v>
      </c>
      <c r="D26" t="s">
        <v>15</v>
      </c>
      <c r="E26">
        <v>65</v>
      </c>
      <c r="F26">
        <v>2.4201586453304591</v>
      </c>
      <c r="G26" t="s">
        <v>93</v>
      </c>
      <c r="H26">
        <v>1.129287334513414</v>
      </c>
      <c r="I26">
        <v>27.253060883582499</v>
      </c>
      <c r="J26">
        <v>0.24534964667661491</v>
      </c>
      <c r="K26" t="s">
        <v>91</v>
      </c>
      <c r="L26">
        <v>2.5894686198307721</v>
      </c>
      <c r="M26">
        <v>0.27397064594644388</v>
      </c>
      <c r="N26" t="s">
        <v>92</v>
      </c>
    </row>
    <row r="27" spans="1:14" x14ac:dyDescent="0.35">
      <c r="A27" t="s">
        <v>42</v>
      </c>
      <c r="B27" t="s">
        <v>18</v>
      </c>
      <c r="C27" t="s">
        <v>28</v>
      </c>
      <c r="D27" t="s">
        <v>15</v>
      </c>
      <c r="E27">
        <v>65</v>
      </c>
      <c r="F27">
        <v>2.635001839331458</v>
      </c>
      <c r="G27" t="s">
        <v>90</v>
      </c>
      <c r="H27">
        <v>1.042018091716818</v>
      </c>
      <c r="I27">
        <v>30.05093668823012</v>
      </c>
      <c r="J27">
        <v>0.14794499656051749</v>
      </c>
      <c r="K27" t="s">
        <v>91</v>
      </c>
      <c r="L27">
        <v>2.605263307573952</v>
      </c>
      <c r="M27">
        <v>0.27181552660481501</v>
      </c>
      <c r="N27" t="s">
        <v>92</v>
      </c>
    </row>
    <row r="28" spans="1:14" x14ac:dyDescent="0.35">
      <c r="A28" t="s">
        <v>42</v>
      </c>
      <c r="B28" t="s">
        <v>13</v>
      </c>
      <c r="C28" t="s">
        <v>28</v>
      </c>
      <c r="D28" t="s">
        <v>20</v>
      </c>
      <c r="E28">
        <v>91</v>
      </c>
      <c r="F28">
        <v>2.424987921435088</v>
      </c>
      <c r="G28" t="s">
        <v>93</v>
      </c>
      <c r="H28">
        <v>1.3712237906440661</v>
      </c>
      <c r="I28">
        <v>24.575597169790811</v>
      </c>
      <c r="J28">
        <v>0.54308770352534497</v>
      </c>
      <c r="K28" t="s">
        <v>91</v>
      </c>
      <c r="L28">
        <v>0.57537089077745263</v>
      </c>
      <c r="M28">
        <v>0.74999747030155717</v>
      </c>
      <c r="N28" t="s">
        <v>92</v>
      </c>
    </row>
    <row r="29" spans="1:14" x14ac:dyDescent="0.35">
      <c r="A29" t="s">
        <v>42</v>
      </c>
      <c r="B29" t="s">
        <v>18</v>
      </c>
      <c r="C29" t="s">
        <v>28</v>
      </c>
      <c r="D29" t="s">
        <v>20</v>
      </c>
      <c r="E29">
        <v>91</v>
      </c>
      <c r="F29">
        <v>2.4301462082037988</v>
      </c>
      <c r="G29" t="s">
        <v>93</v>
      </c>
      <c r="H29">
        <v>1.073542907784891</v>
      </c>
      <c r="I29">
        <v>26.695760802694299</v>
      </c>
      <c r="J29">
        <v>0.42541895195228868</v>
      </c>
      <c r="K29" t="s">
        <v>91</v>
      </c>
      <c r="L29">
        <v>0.95569674703244278</v>
      </c>
      <c r="M29">
        <v>0.62011621589528554</v>
      </c>
      <c r="N29" t="s">
        <v>92</v>
      </c>
    </row>
    <row r="30" spans="1:14" x14ac:dyDescent="0.35">
      <c r="A30" t="s">
        <v>42</v>
      </c>
      <c r="B30" t="s">
        <v>13</v>
      </c>
      <c r="C30" t="s">
        <v>28</v>
      </c>
      <c r="D30" t="s">
        <v>24</v>
      </c>
      <c r="E30">
        <v>156</v>
      </c>
      <c r="F30">
        <v>2.3417714048154168</v>
      </c>
      <c r="G30" t="s">
        <v>93</v>
      </c>
      <c r="H30">
        <v>1.0991193475853851</v>
      </c>
      <c r="I30">
        <v>26.627342558132462</v>
      </c>
      <c r="J30">
        <v>0.5386025333728498</v>
      </c>
      <c r="K30" t="s">
        <v>91</v>
      </c>
      <c r="L30">
        <v>1.599822486950397</v>
      </c>
      <c r="M30">
        <v>0.44936884676446559</v>
      </c>
      <c r="N30" t="s">
        <v>92</v>
      </c>
    </row>
    <row r="31" spans="1:14" x14ac:dyDescent="0.35">
      <c r="A31" t="s">
        <v>42</v>
      </c>
      <c r="B31" t="s">
        <v>18</v>
      </c>
      <c r="C31" t="s">
        <v>28</v>
      </c>
      <c r="D31" t="s">
        <v>24</v>
      </c>
      <c r="E31">
        <v>156</v>
      </c>
      <c r="F31">
        <v>2.365650661869354</v>
      </c>
      <c r="G31" t="s">
        <v>93</v>
      </c>
      <c r="H31">
        <v>1.0455499298503861</v>
      </c>
      <c r="I31">
        <v>30.291692377916341</v>
      </c>
      <c r="J31">
        <v>0.34941145726443279</v>
      </c>
      <c r="K31" t="s">
        <v>91</v>
      </c>
      <c r="L31">
        <v>1.7649044893913679</v>
      </c>
      <c r="M31">
        <v>0.41376700861709509</v>
      </c>
      <c r="N31" t="s">
        <v>92</v>
      </c>
    </row>
    <row r="32" spans="1:14" x14ac:dyDescent="0.35">
      <c r="A32" t="s">
        <v>42</v>
      </c>
      <c r="B32" t="s">
        <v>13</v>
      </c>
      <c r="C32" t="s">
        <v>35</v>
      </c>
      <c r="D32" t="s">
        <v>15</v>
      </c>
      <c r="E32">
        <v>53</v>
      </c>
      <c r="F32">
        <v>2.244833990170823</v>
      </c>
      <c r="G32" t="s">
        <v>93</v>
      </c>
      <c r="H32">
        <v>1.2041179316789541</v>
      </c>
      <c r="I32">
        <v>19.099601612194348</v>
      </c>
      <c r="J32">
        <v>0.51536053398883674</v>
      </c>
      <c r="K32" t="s">
        <v>91</v>
      </c>
      <c r="L32">
        <v>19.960737356971709</v>
      </c>
      <c r="M32">
        <v>4.6299996221282529E-5</v>
      </c>
      <c r="N32" t="s">
        <v>91</v>
      </c>
    </row>
    <row r="33" spans="1:14" x14ac:dyDescent="0.35">
      <c r="A33" t="s">
        <v>42</v>
      </c>
      <c r="B33" t="s">
        <v>18</v>
      </c>
      <c r="C33" t="s">
        <v>35</v>
      </c>
      <c r="D33" t="s">
        <v>15</v>
      </c>
      <c r="E33">
        <v>53</v>
      </c>
      <c r="F33">
        <v>2.340395560855391</v>
      </c>
      <c r="G33" t="s">
        <v>93</v>
      </c>
      <c r="H33">
        <v>1.1420400829712021</v>
      </c>
      <c r="I33">
        <v>19.460234079148869</v>
      </c>
      <c r="J33">
        <v>0.49211641503122289</v>
      </c>
      <c r="K33" t="s">
        <v>91</v>
      </c>
      <c r="L33">
        <v>16.27076607418957</v>
      </c>
      <c r="M33">
        <v>2.9298678947058137E-4</v>
      </c>
      <c r="N33" t="s">
        <v>91</v>
      </c>
    </row>
    <row r="34" spans="1:14" x14ac:dyDescent="0.35">
      <c r="A34" t="s">
        <v>42</v>
      </c>
      <c r="B34" t="s">
        <v>13</v>
      </c>
      <c r="C34" t="s">
        <v>35</v>
      </c>
      <c r="D34" t="s">
        <v>20</v>
      </c>
      <c r="E34">
        <v>67</v>
      </c>
      <c r="F34">
        <v>1.951732997539473</v>
      </c>
      <c r="G34" t="s">
        <v>93</v>
      </c>
      <c r="H34">
        <v>1.26137453577909</v>
      </c>
      <c r="I34">
        <v>39.753590914200743</v>
      </c>
      <c r="J34">
        <v>1.6375473242273911E-2</v>
      </c>
      <c r="K34" t="s">
        <v>92</v>
      </c>
      <c r="L34">
        <v>7.2248231340250868</v>
      </c>
      <c r="M34">
        <v>2.698668812373467E-2</v>
      </c>
      <c r="N34" t="s">
        <v>91</v>
      </c>
    </row>
    <row r="35" spans="1:14" x14ac:dyDescent="0.35">
      <c r="A35" t="s">
        <v>42</v>
      </c>
      <c r="B35" t="s">
        <v>18</v>
      </c>
      <c r="C35" t="s">
        <v>35</v>
      </c>
      <c r="D35" t="s">
        <v>20</v>
      </c>
      <c r="E35">
        <v>67</v>
      </c>
      <c r="F35">
        <v>1.8999221346412909</v>
      </c>
      <c r="G35" t="s">
        <v>93</v>
      </c>
      <c r="H35">
        <v>1.1907542587326081</v>
      </c>
      <c r="I35">
        <v>37.378526404399203</v>
      </c>
      <c r="J35">
        <v>2.966465343853604E-2</v>
      </c>
      <c r="K35" t="s">
        <v>92</v>
      </c>
      <c r="L35">
        <v>7.0527444072007492</v>
      </c>
      <c r="M35">
        <v>2.941142120835253E-2</v>
      </c>
      <c r="N35" t="s">
        <v>91</v>
      </c>
    </row>
    <row r="36" spans="1:14" x14ac:dyDescent="0.35">
      <c r="A36" t="s">
        <v>42</v>
      </c>
      <c r="B36" t="s">
        <v>13</v>
      </c>
      <c r="C36" t="s">
        <v>35</v>
      </c>
      <c r="D36" t="s">
        <v>24</v>
      </c>
      <c r="E36">
        <v>120</v>
      </c>
      <c r="F36">
        <v>1.857535334417953</v>
      </c>
      <c r="G36" t="s">
        <v>93</v>
      </c>
      <c r="H36">
        <v>1.0856914296731901</v>
      </c>
      <c r="I36">
        <v>20.569195839572789</v>
      </c>
      <c r="J36">
        <v>0.71636777978412103</v>
      </c>
      <c r="K36" t="s">
        <v>91</v>
      </c>
      <c r="L36">
        <v>14.70199699417407</v>
      </c>
      <c r="M36">
        <v>6.4195105398014791E-4</v>
      </c>
      <c r="N36" t="s">
        <v>91</v>
      </c>
    </row>
    <row r="37" spans="1:14" x14ac:dyDescent="0.35">
      <c r="A37" t="s">
        <v>42</v>
      </c>
      <c r="B37" t="s">
        <v>18</v>
      </c>
      <c r="C37" t="s">
        <v>35</v>
      </c>
      <c r="D37" t="s">
        <v>24</v>
      </c>
      <c r="E37">
        <v>120</v>
      </c>
      <c r="F37">
        <v>1.863619007254814</v>
      </c>
      <c r="G37" t="s">
        <v>93</v>
      </c>
      <c r="H37">
        <v>1.038883957876453</v>
      </c>
      <c r="I37">
        <v>20.3863264657437</v>
      </c>
      <c r="J37">
        <v>0.72627808641462233</v>
      </c>
      <c r="K37" t="s">
        <v>91</v>
      </c>
      <c r="L37">
        <v>14.94025721896192</v>
      </c>
      <c r="M37">
        <v>5.6985500340843128E-4</v>
      </c>
      <c r="N37" t="s">
        <v>91</v>
      </c>
    </row>
    <row r="38" spans="1:14" x14ac:dyDescent="0.35">
      <c r="A38" t="s">
        <v>62</v>
      </c>
      <c r="B38" t="s">
        <v>13</v>
      </c>
      <c r="C38" t="s">
        <v>14</v>
      </c>
      <c r="D38" t="s">
        <v>15</v>
      </c>
      <c r="E38">
        <v>118</v>
      </c>
      <c r="F38">
        <v>1.8672305457570719</v>
      </c>
      <c r="G38" t="s">
        <v>93</v>
      </c>
      <c r="H38">
        <v>1.0821469564291899</v>
      </c>
      <c r="I38">
        <v>42.518939767455343</v>
      </c>
      <c r="J38">
        <v>0.14987942409846289</v>
      </c>
      <c r="K38" t="s">
        <v>91</v>
      </c>
      <c r="L38">
        <v>0.38394432690989599</v>
      </c>
      <c r="M38">
        <v>0.82532984250326602</v>
      </c>
      <c r="N38" t="s">
        <v>92</v>
      </c>
    </row>
    <row r="39" spans="1:14" x14ac:dyDescent="0.35">
      <c r="A39" t="s">
        <v>62</v>
      </c>
      <c r="B39" t="s">
        <v>18</v>
      </c>
      <c r="C39" t="s">
        <v>14</v>
      </c>
      <c r="D39" t="s">
        <v>15</v>
      </c>
      <c r="E39">
        <v>118</v>
      </c>
      <c r="F39">
        <v>1.937018902689011</v>
      </c>
      <c r="G39" t="s">
        <v>93</v>
      </c>
      <c r="H39">
        <v>1.045414353505784</v>
      </c>
      <c r="I39">
        <v>38.381086269838192</v>
      </c>
      <c r="J39">
        <v>0.27753940425634788</v>
      </c>
      <c r="K39" t="s">
        <v>91</v>
      </c>
      <c r="L39">
        <v>0.97006014156678388</v>
      </c>
      <c r="M39">
        <v>0.61567868254561597</v>
      </c>
      <c r="N39" t="s">
        <v>92</v>
      </c>
    </row>
    <row r="40" spans="1:14" x14ac:dyDescent="0.35">
      <c r="A40" t="s">
        <v>62</v>
      </c>
      <c r="B40" t="s">
        <v>13</v>
      </c>
      <c r="C40" t="s">
        <v>14</v>
      </c>
      <c r="D40" t="s">
        <v>20</v>
      </c>
      <c r="E40">
        <v>158</v>
      </c>
      <c r="F40">
        <v>2.0471348347880962</v>
      </c>
      <c r="G40" t="s">
        <v>93</v>
      </c>
      <c r="H40">
        <v>1.074227260717902</v>
      </c>
      <c r="I40">
        <v>50.453930576098912</v>
      </c>
      <c r="J40">
        <v>5.5500712941291233E-2</v>
      </c>
      <c r="K40" t="s">
        <v>91</v>
      </c>
      <c r="L40">
        <v>3.5303962501709441</v>
      </c>
      <c r="M40">
        <v>0.17115287344785951</v>
      </c>
      <c r="N40" t="s">
        <v>92</v>
      </c>
    </row>
    <row r="41" spans="1:14" x14ac:dyDescent="0.35">
      <c r="A41" t="s">
        <v>62</v>
      </c>
      <c r="B41" t="s">
        <v>18</v>
      </c>
      <c r="C41" t="s">
        <v>14</v>
      </c>
      <c r="D41" t="s">
        <v>20</v>
      </c>
      <c r="E41">
        <v>158</v>
      </c>
      <c r="F41">
        <v>2.0434086005611611</v>
      </c>
      <c r="G41" t="s">
        <v>93</v>
      </c>
      <c r="H41">
        <v>1.188453560625677</v>
      </c>
      <c r="I41">
        <v>48.970399682383203</v>
      </c>
      <c r="J41">
        <v>7.3177923885247603E-2</v>
      </c>
      <c r="K41" t="s">
        <v>91</v>
      </c>
      <c r="L41">
        <v>4.0097182884039899</v>
      </c>
      <c r="M41">
        <v>0.13467926471483249</v>
      </c>
      <c r="N41" t="s">
        <v>92</v>
      </c>
    </row>
    <row r="42" spans="1:14" x14ac:dyDescent="0.35">
      <c r="A42" t="s">
        <v>62</v>
      </c>
      <c r="B42" t="s">
        <v>13</v>
      </c>
      <c r="C42" t="s">
        <v>14</v>
      </c>
      <c r="D42" t="s">
        <v>24</v>
      </c>
      <c r="E42">
        <v>276</v>
      </c>
      <c r="F42">
        <v>1.7556407628494191</v>
      </c>
      <c r="G42" t="s">
        <v>93</v>
      </c>
      <c r="H42">
        <v>1.03373291429202</v>
      </c>
      <c r="I42">
        <v>49.62998977126675</v>
      </c>
      <c r="J42">
        <v>9.8033598389063364E-2</v>
      </c>
      <c r="K42" t="s">
        <v>91</v>
      </c>
      <c r="L42">
        <v>0.90627628760203238</v>
      </c>
      <c r="M42">
        <v>0.63563031917271107</v>
      </c>
      <c r="N42" t="s">
        <v>92</v>
      </c>
    </row>
    <row r="43" spans="1:14" x14ac:dyDescent="0.35">
      <c r="A43" t="s">
        <v>62</v>
      </c>
      <c r="B43" t="s">
        <v>18</v>
      </c>
      <c r="C43" t="s">
        <v>14</v>
      </c>
      <c r="D43" t="s">
        <v>24</v>
      </c>
      <c r="E43">
        <v>276</v>
      </c>
      <c r="F43">
        <v>1.7599391551205661</v>
      </c>
      <c r="G43" t="s">
        <v>93</v>
      </c>
      <c r="H43">
        <v>1.036832637316863</v>
      </c>
      <c r="I43">
        <v>50.313396920336878</v>
      </c>
      <c r="J43">
        <v>8.7202047441050506E-2</v>
      </c>
      <c r="K43" t="s">
        <v>91</v>
      </c>
      <c r="L43">
        <v>1.4153316231723421</v>
      </c>
      <c r="M43">
        <v>0.49279312803897041</v>
      </c>
      <c r="N43" t="s">
        <v>92</v>
      </c>
    </row>
    <row r="44" spans="1:14" x14ac:dyDescent="0.35">
      <c r="A44" t="s">
        <v>62</v>
      </c>
      <c r="B44" t="s">
        <v>13</v>
      </c>
      <c r="C44" t="s">
        <v>28</v>
      </c>
      <c r="D44" t="s">
        <v>15</v>
      </c>
      <c r="E44">
        <v>65</v>
      </c>
      <c r="F44">
        <v>2.0223286727085639</v>
      </c>
      <c r="G44" t="s">
        <v>93</v>
      </c>
      <c r="H44">
        <v>1.034327772292404</v>
      </c>
      <c r="I44">
        <v>25.30215353765885</v>
      </c>
      <c r="J44">
        <v>0.33489678272650691</v>
      </c>
      <c r="K44" t="s">
        <v>91</v>
      </c>
      <c r="L44">
        <v>2.132073148446298</v>
      </c>
      <c r="M44">
        <v>0.34437070389763907</v>
      </c>
      <c r="N44" t="s">
        <v>92</v>
      </c>
    </row>
    <row r="45" spans="1:14" x14ac:dyDescent="0.35">
      <c r="A45" t="s">
        <v>62</v>
      </c>
      <c r="B45" t="s">
        <v>18</v>
      </c>
      <c r="C45" t="s">
        <v>28</v>
      </c>
      <c r="D45" t="s">
        <v>15</v>
      </c>
      <c r="E45">
        <v>65</v>
      </c>
      <c r="F45">
        <v>2.113049024313844</v>
      </c>
      <c r="G45" t="s">
        <v>93</v>
      </c>
      <c r="H45">
        <v>1.076921634594493</v>
      </c>
      <c r="I45">
        <v>25.828467061213271</v>
      </c>
      <c r="J45">
        <v>0.30903057761753538</v>
      </c>
      <c r="K45" t="s">
        <v>91</v>
      </c>
      <c r="L45">
        <v>2.2443855916099729</v>
      </c>
      <c r="M45">
        <v>0.32556511351937101</v>
      </c>
      <c r="N45" t="s">
        <v>92</v>
      </c>
    </row>
    <row r="46" spans="1:14" x14ac:dyDescent="0.35">
      <c r="A46" t="s">
        <v>62</v>
      </c>
      <c r="B46" t="s">
        <v>13</v>
      </c>
      <c r="C46" t="s">
        <v>28</v>
      </c>
      <c r="D46" t="s">
        <v>20</v>
      </c>
      <c r="E46">
        <v>91</v>
      </c>
      <c r="F46">
        <v>1.9165404175287351</v>
      </c>
      <c r="G46" t="s">
        <v>93</v>
      </c>
      <c r="H46">
        <v>1.055121073304945</v>
      </c>
      <c r="I46">
        <v>36.972266409711587</v>
      </c>
      <c r="J46">
        <v>7.5184684083085693E-2</v>
      </c>
      <c r="K46" t="s">
        <v>91</v>
      </c>
      <c r="L46">
        <v>1.79615573938121</v>
      </c>
      <c r="M46">
        <v>0.40735189114097359</v>
      </c>
      <c r="N46" t="s">
        <v>92</v>
      </c>
    </row>
    <row r="47" spans="1:14" x14ac:dyDescent="0.35">
      <c r="A47" t="s">
        <v>62</v>
      </c>
      <c r="B47" t="s">
        <v>18</v>
      </c>
      <c r="C47" t="s">
        <v>28</v>
      </c>
      <c r="D47" t="s">
        <v>20</v>
      </c>
      <c r="E47">
        <v>91</v>
      </c>
      <c r="F47">
        <v>1.8777787680673841</v>
      </c>
      <c r="G47" t="s">
        <v>93</v>
      </c>
      <c r="H47">
        <v>1.111242873278846</v>
      </c>
      <c r="I47">
        <v>35.310591836715062</v>
      </c>
      <c r="J47">
        <v>0.10509489238464351</v>
      </c>
      <c r="K47" t="s">
        <v>91</v>
      </c>
      <c r="L47">
        <v>2.074931104203138</v>
      </c>
      <c r="M47">
        <v>0.35435163058932351</v>
      </c>
      <c r="N47" t="s">
        <v>92</v>
      </c>
    </row>
    <row r="48" spans="1:14" x14ac:dyDescent="0.35">
      <c r="A48" t="s">
        <v>62</v>
      </c>
      <c r="B48" t="s">
        <v>13</v>
      </c>
      <c r="C48" t="s">
        <v>28</v>
      </c>
      <c r="D48" t="s">
        <v>24</v>
      </c>
      <c r="E48">
        <v>156</v>
      </c>
      <c r="F48">
        <v>1.8472274052342961</v>
      </c>
      <c r="G48" t="s">
        <v>93</v>
      </c>
      <c r="H48">
        <v>1.0509207331452739</v>
      </c>
      <c r="I48">
        <v>40.325188527639718</v>
      </c>
      <c r="J48">
        <v>6.1842497755839949E-2</v>
      </c>
      <c r="K48" t="s">
        <v>91</v>
      </c>
      <c r="L48">
        <v>1.1769556391259659</v>
      </c>
      <c r="M48">
        <v>0.5551717134063896</v>
      </c>
      <c r="N48" t="s">
        <v>92</v>
      </c>
    </row>
    <row r="49" spans="1:14" x14ac:dyDescent="0.35">
      <c r="A49" t="s">
        <v>62</v>
      </c>
      <c r="B49" t="s">
        <v>18</v>
      </c>
      <c r="C49" t="s">
        <v>28</v>
      </c>
      <c r="D49" t="s">
        <v>24</v>
      </c>
      <c r="E49">
        <v>156</v>
      </c>
      <c r="F49">
        <v>1.817991335096689</v>
      </c>
      <c r="G49" t="s">
        <v>93</v>
      </c>
      <c r="H49">
        <v>1.0645832758282781</v>
      </c>
      <c r="I49">
        <v>40.243285490419481</v>
      </c>
      <c r="J49">
        <v>6.2898703501932343E-2</v>
      </c>
      <c r="K49" t="s">
        <v>91</v>
      </c>
      <c r="L49">
        <v>1.1735185125494161</v>
      </c>
      <c r="M49">
        <v>0.55612663144025065</v>
      </c>
      <c r="N49" t="s">
        <v>92</v>
      </c>
    </row>
    <row r="50" spans="1:14" x14ac:dyDescent="0.35">
      <c r="A50" t="s">
        <v>62</v>
      </c>
      <c r="B50" t="s">
        <v>13</v>
      </c>
      <c r="C50" t="s">
        <v>35</v>
      </c>
      <c r="D50" t="s">
        <v>15</v>
      </c>
      <c r="E50">
        <v>53</v>
      </c>
      <c r="F50">
        <v>1.759674354119549</v>
      </c>
      <c r="G50" t="s">
        <v>93</v>
      </c>
      <c r="H50">
        <v>1.11943263669093</v>
      </c>
      <c r="I50">
        <v>16.246005927128792</v>
      </c>
      <c r="J50">
        <v>0.70124992964579813</v>
      </c>
      <c r="K50" t="s">
        <v>91</v>
      </c>
      <c r="L50">
        <v>1.0782140668153259</v>
      </c>
      <c r="M50">
        <v>0.58326885950289542</v>
      </c>
      <c r="N50" t="s">
        <v>92</v>
      </c>
    </row>
    <row r="51" spans="1:14" x14ac:dyDescent="0.35">
      <c r="A51" t="s">
        <v>62</v>
      </c>
      <c r="B51" t="s">
        <v>18</v>
      </c>
      <c r="C51" t="s">
        <v>35</v>
      </c>
      <c r="D51" t="s">
        <v>15</v>
      </c>
      <c r="E51">
        <v>53</v>
      </c>
      <c r="F51">
        <v>1.7379804501892631</v>
      </c>
      <c r="G51" t="s">
        <v>93</v>
      </c>
      <c r="H51">
        <v>1.1532892739630529</v>
      </c>
      <c r="I51">
        <v>20.01955839274888</v>
      </c>
      <c r="J51">
        <v>0.4567068386524914</v>
      </c>
      <c r="K51" t="s">
        <v>91</v>
      </c>
      <c r="L51">
        <v>0.67889750776827662</v>
      </c>
      <c r="M51">
        <v>0.71216279155192763</v>
      </c>
      <c r="N51" t="s">
        <v>92</v>
      </c>
    </row>
    <row r="52" spans="1:14" x14ac:dyDescent="0.35">
      <c r="A52" t="s">
        <v>62</v>
      </c>
      <c r="B52" t="s">
        <v>13</v>
      </c>
      <c r="C52" t="s">
        <v>35</v>
      </c>
      <c r="D52" t="s">
        <v>20</v>
      </c>
      <c r="E52">
        <v>67</v>
      </c>
      <c r="F52">
        <v>1.814309092106998</v>
      </c>
      <c r="G52" t="s">
        <v>93</v>
      </c>
      <c r="H52">
        <v>1.1401716294075119</v>
      </c>
      <c r="I52">
        <v>22.30935845741822</v>
      </c>
      <c r="J52">
        <v>0.50164740069329161</v>
      </c>
      <c r="K52" t="s">
        <v>91</v>
      </c>
      <c r="L52">
        <v>1.635503310151742</v>
      </c>
      <c r="M52">
        <v>0.44142301081868712</v>
      </c>
      <c r="N52" t="s">
        <v>92</v>
      </c>
    </row>
    <row r="53" spans="1:14" x14ac:dyDescent="0.35">
      <c r="A53" t="s">
        <v>62</v>
      </c>
      <c r="B53" t="s">
        <v>18</v>
      </c>
      <c r="C53" t="s">
        <v>35</v>
      </c>
      <c r="D53" t="s">
        <v>20</v>
      </c>
      <c r="E53">
        <v>67</v>
      </c>
      <c r="F53">
        <v>1.8245593632229771</v>
      </c>
      <c r="G53" t="s">
        <v>93</v>
      </c>
      <c r="H53">
        <v>1.7774051205856909</v>
      </c>
      <c r="I53">
        <v>24.0510586923787</v>
      </c>
      <c r="J53">
        <v>0.40098560041851239</v>
      </c>
      <c r="K53" t="s">
        <v>91</v>
      </c>
      <c r="L53">
        <v>1.4133428650370889</v>
      </c>
      <c r="M53">
        <v>0.49328339492532958</v>
      </c>
      <c r="N53" t="s">
        <v>92</v>
      </c>
    </row>
    <row r="54" spans="1:14" x14ac:dyDescent="0.35">
      <c r="A54" t="s">
        <v>62</v>
      </c>
      <c r="B54" t="s">
        <v>13</v>
      </c>
      <c r="C54" t="s">
        <v>35</v>
      </c>
      <c r="D54" t="s">
        <v>24</v>
      </c>
      <c r="E54">
        <v>120</v>
      </c>
      <c r="F54">
        <v>1.592677235210215</v>
      </c>
      <c r="G54" t="s">
        <v>93</v>
      </c>
      <c r="H54">
        <v>1.024610922994122</v>
      </c>
      <c r="I54">
        <v>14.312133391333539</v>
      </c>
      <c r="J54">
        <v>0.95601500580672283</v>
      </c>
      <c r="K54" t="s">
        <v>91</v>
      </c>
      <c r="L54">
        <v>1.004654435447822</v>
      </c>
      <c r="M54">
        <v>0.6051207720054077</v>
      </c>
      <c r="N54" t="s">
        <v>92</v>
      </c>
    </row>
    <row r="55" spans="1:14" x14ac:dyDescent="0.35">
      <c r="A55" t="s">
        <v>62</v>
      </c>
      <c r="B55" t="s">
        <v>18</v>
      </c>
      <c r="C55" t="s">
        <v>35</v>
      </c>
      <c r="D55" t="s">
        <v>24</v>
      </c>
      <c r="E55">
        <v>120</v>
      </c>
      <c r="F55">
        <v>1.58526241048356</v>
      </c>
      <c r="G55" t="s">
        <v>93</v>
      </c>
      <c r="H55">
        <v>1.091549512975784</v>
      </c>
      <c r="I55">
        <v>14.721401163837481</v>
      </c>
      <c r="J55">
        <v>0.94765454458062437</v>
      </c>
      <c r="K55" t="s">
        <v>91</v>
      </c>
      <c r="L55">
        <v>0.72086390096402497</v>
      </c>
      <c r="M55">
        <v>0.69737502952297525</v>
      </c>
      <c r="N55" t="s">
        <v>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9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24</v>
      </c>
      <c r="E1" t="s">
        <v>15</v>
      </c>
      <c r="F1" t="s">
        <v>20</v>
      </c>
    </row>
    <row r="2" spans="1:6" x14ac:dyDescent="0.35">
      <c r="A2" s="2" t="s">
        <v>12</v>
      </c>
      <c r="B2" s="2" t="s">
        <v>13</v>
      </c>
      <c r="C2" t="s">
        <v>28</v>
      </c>
      <c r="D2">
        <v>1.9761509408630851</v>
      </c>
      <c r="E2">
        <v>2.9241742733680529</v>
      </c>
      <c r="F2">
        <v>2.067944794430749</v>
      </c>
    </row>
    <row r="3" spans="1:6" x14ac:dyDescent="0.35">
      <c r="A3" s="2"/>
      <c r="B3" s="2"/>
      <c r="C3" t="s">
        <v>14</v>
      </c>
      <c r="D3">
        <v>1.9832307245041989</v>
      </c>
      <c r="E3">
        <v>2.6291735222785348</v>
      </c>
      <c r="F3">
        <v>2.0262662406581011</v>
      </c>
    </row>
    <row r="4" spans="1:6" x14ac:dyDescent="0.35">
      <c r="A4" s="2"/>
      <c r="B4" s="2"/>
      <c r="C4" t="s">
        <v>35</v>
      </c>
      <c r="D4">
        <v>2.118809815769608</v>
      </c>
      <c r="E4">
        <v>2.3897396056784528</v>
      </c>
      <c r="F4">
        <v>2.241022913889946</v>
      </c>
    </row>
    <row r="5" spans="1:6" x14ac:dyDescent="0.35">
      <c r="A5" s="2"/>
      <c r="B5" s="2" t="s">
        <v>18</v>
      </c>
      <c r="C5" t="s">
        <v>28</v>
      </c>
      <c r="D5">
        <v>1.980578212666749</v>
      </c>
      <c r="E5">
        <v>2.9363869320518479</v>
      </c>
      <c r="F5">
        <v>2.0903718634935542</v>
      </c>
    </row>
    <row r="6" spans="1:6" x14ac:dyDescent="0.35">
      <c r="A6" s="2"/>
      <c r="B6" s="2"/>
      <c r="C6" t="s">
        <v>14</v>
      </c>
      <c r="D6">
        <v>1.985112598013981</v>
      </c>
      <c r="E6">
        <v>2.6158381614339028</v>
      </c>
      <c r="F6">
        <v>2.0252782487289722</v>
      </c>
    </row>
    <row r="7" spans="1:6" x14ac:dyDescent="0.35">
      <c r="A7" s="2"/>
      <c r="B7" s="2"/>
      <c r="C7" t="s">
        <v>35</v>
      </c>
      <c r="D7">
        <v>2.1201840088765209</v>
      </c>
      <c r="E7">
        <v>2.377968185790071</v>
      </c>
      <c r="F7">
        <v>2.2199153903931599</v>
      </c>
    </row>
    <row r="8" spans="1:6" x14ac:dyDescent="0.35">
      <c r="A8" s="2" t="s">
        <v>42</v>
      </c>
      <c r="B8" s="2" t="s">
        <v>13</v>
      </c>
      <c r="C8" t="s">
        <v>28</v>
      </c>
      <c r="D8">
        <v>2.3417714048154168</v>
      </c>
      <c r="E8">
        <v>2.4201586453304591</v>
      </c>
      <c r="F8">
        <v>2.424987921435088</v>
      </c>
    </row>
    <row r="9" spans="1:6" x14ac:dyDescent="0.35">
      <c r="A9" s="2"/>
      <c r="B9" s="2"/>
      <c r="C9" t="s">
        <v>14</v>
      </c>
      <c r="D9">
        <v>2.0618769307979479</v>
      </c>
      <c r="E9">
        <v>2.3006056366490868</v>
      </c>
      <c r="F9">
        <v>2.1377474852118308</v>
      </c>
    </row>
    <row r="10" spans="1:6" x14ac:dyDescent="0.35">
      <c r="A10" s="2"/>
      <c r="B10" s="2"/>
      <c r="C10" t="s">
        <v>35</v>
      </c>
      <c r="D10">
        <v>1.857535334417953</v>
      </c>
      <c r="E10">
        <v>2.244833990170823</v>
      </c>
      <c r="F10">
        <v>1.951732997539473</v>
      </c>
    </row>
    <row r="11" spans="1:6" x14ac:dyDescent="0.35">
      <c r="A11" s="2"/>
      <c r="B11" s="2" t="s">
        <v>18</v>
      </c>
      <c r="C11" t="s">
        <v>28</v>
      </c>
      <c r="D11">
        <v>2.365650661869354</v>
      </c>
      <c r="E11">
        <v>2.635001839331458</v>
      </c>
      <c r="F11">
        <v>2.4301462082037988</v>
      </c>
    </row>
    <row r="12" spans="1:6" x14ac:dyDescent="0.35">
      <c r="A12" s="2"/>
      <c r="B12" s="2"/>
      <c r="C12" t="s">
        <v>14</v>
      </c>
      <c r="D12">
        <v>2.0628931642924431</v>
      </c>
      <c r="E12">
        <v>2.3890325963020129</v>
      </c>
      <c r="F12">
        <v>2.1653974091060189</v>
      </c>
    </row>
    <row r="13" spans="1:6" x14ac:dyDescent="0.35">
      <c r="A13" s="2"/>
      <c r="B13" s="2"/>
      <c r="C13" t="s">
        <v>35</v>
      </c>
      <c r="D13">
        <v>1.863619007254814</v>
      </c>
      <c r="E13">
        <v>2.340395560855391</v>
      </c>
      <c r="F13">
        <v>1.8999221346412909</v>
      </c>
    </row>
    <row r="14" spans="1:6" x14ac:dyDescent="0.35">
      <c r="A14" s="2" t="s">
        <v>62</v>
      </c>
      <c r="B14" s="2" t="s">
        <v>13</v>
      </c>
      <c r="C14" t="s">
        <v>28</v>
      </c>
      <c r="D14">
        <v>1.8472274052342961</v>
      </c>
      <c r="E14">
        <v>2.0223286727085639</v>
      </c>
      <c r="F14">
        <v>1.9165404175287351</v>
      </c>
    </row>
    <row r="15" spans="1:6" x14ac:dyDescent="0.35">
      <c r="A15" s="2"/>
      <c r="B15" s="2"/>
      <c r="C15" t="s">
        <v>14</v>
      </c>
      <c r="D15">
        <v>1.7556407628494191</v>
      </c>
      <c r="E15">
        <v>1.8672305457570719</v>
      </c>
      <c r="F15">
        <v>2.0471348347880962</v>
      </c>
    </row>
    <row r="16" spans="1:6" x14ac:dyDescent="0.35">
      <c r="A16" s="2"/>
      <c r="B16" s="2"/>
      <c r="C16" t="s">
        <v>35</v>
      </c>
      <c r="D16">
        <v>1.592677235210215</v>
      </c>
      <c r="E16">
        <v>1.759674354119549</v>
      </c>
      <c r="F16">
        <v>1.814309092106998</v>
      </c>
    </row>
    <row r="17" spans="1:6" x14ac:dyDescent="0.35">
      <c r="A17" s="2"/>
      <c r="B17" s="2" t="s">
        <v>18</v>
      </c>
      <c r="C17" t="s">
        <v>28</v>
      </c>
      <c r="D17">
        <v>1.817991335096689</v>
      </c>
      <c r="E17">
        <v>2.113049024313844</v>
      </c>
      <c r="F17">
        <v>1.8777787680673841</v>
      </c>
    </row>
    <row r="18" spans="1:6" x14ac:dyDescent="0.35">
      <c r="A18" s="2"/>
      <c r="B18" s="2"/>
      <c r="C18" t="s">
        <v>14</v>
      </c>
      <c r="D18">
        <v>1.7599391551205661</v>
      </c>
      <c r="E18">
        <v>1.937018902689011</v>
      </c>
      <c r="F18">
        <v>2.0434086005611611</v>
      </c>
    </row>
    <row r="19" spans="1:6" x14ac:dyDescent="0.35">
      <c r="A19" s="2"/>
      <c r="B19" s="2"/>
      <c r="C19" t="s">
        <v>35</v>
      </c>
      <c r="D19">
        <v>1.58526241048356</v>
      </c>
      <c r="E19">
        <v>1.7379804501892631</v>
      </c>
      <c r="F19">
        <v>1.8245593632229771</v>
      </c>
    </row>
  </sheetData>
  <mergeCells count="9">
    <mergeCell ref="A8:A13"/>
    <mergeCell ref="B17:B19"/>
    <mergeCell ref="A2:A7"/>
    <mergeCell ref="B14:B16"/>
    <mergeCell ref="B11:B13"/>
    <mergeCell ref="B8:B10"/>
    <mergeCell ref="B2:B4"/>
    <mergeCell ref="A14:A19"/>
    <mergeCell ref="B5:B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24</v>
      </c>
      <c r="E1" t="s">
        <v>15</v>
      </c>
      <c r="F1" t="s">
        <v>20</v>
      </c>
    </row>
    <row r="2" spans="1:6" x14ac:dyDescent="0.35">
      <c r="A2" s="2" t="s">
        <v>12</v>
      </c>
      <c r="B2" s="2" t="s">
        <v>13</v>
      </c>
      <c r="C2" t="s">
        <v>28</v>
      </c>
      <c r="D2">
        <v>0.10862143101535331</v>
      </c>
      <c r="E2">
        <v>0.11489343364804259</v>
      </c>
      <c r="F2">
        <v>7.8314602532098335E-2</v>
      </c>
    </row>
    <row r="3" spans="1:6" x14ac:dyDescent="0.35">
      <c r="A3" s="2"/>
      <c r="B3" s="2"/>
      <c r="C3" t="s">
        <v>14</v>
      </c>
      <c r="D3">
        <v>7.3177137342794862E-3</v>
      </c>
      <c r="E3">
        <v>0.1061169388175732</v>
      </c>
      <c r="F3">
        <v>5.1227845965019433E-2</v>
      </c>
    </row>
    <row r="4" spans="1:6" x14ac:dyDescent="0.35">
      <c r="A4" s="2"/>
      <c r="B4" s="2"/>
      <c r="C4" t="s">
        <v>35</v>
      </c>
      <c r="D4">
        <v>0.19331418316037369</v>
      </c>
      <c r="E4">
        <v>0.12707310551949549</v>
      </c>
      <c r="F4">
        <v>0.38555558761295272</v>
      </c>
    </row>
    <row r="5" spans="1:6" x14ac:dyDescent="0.35">
      <c r="A5" s="2"/>
      <c r="B5" s="2" t="s">
        <v>18</v>
      </c>
      <c r="C5" t="s">
        <v>28</v>
      </c>
      <c r="D5">
        <v>0.1036717995594673</v>
      </c>
      <c r="E5">
        <v>0.1047041169096856</v>
      </c>
      <c r="F5">
        <v>7.794279804201161E-2</v>
      </c>
    </row>
    <row r="6" spans="1:6" x14ac:dyDescent="0.35">
      <c r="A6" s="2"/>
      <c r="B6" s="2"/>
      <c r="C6" t="s">
        <v>14</v>
      </c>
      <c r="D6">
        <v>6.78498888826336E-3</v>
      </c>
      <c r="E6">
        <v>7.9881625756867122E-2</v>
      </c>
      <c r="F6">
        <v>5.1441564517011283E-2</v>
      </c>
    </row>
    <row r="7" spans="1:6" x14ac:dyDescent="0.35">
      <c r="A7" s="2"/>
      <c r="B7" s="2"/>
      <c r="C7" t="s">
        <v>35</v>
      </c>
      <c r="D7">
        <v>0.1925230881207379</v>
      </c>
      <c r="E7">
        <v>0.11702257518713691</v>
      </c>
      <c r="F7">
        <v>0.35898814808160101</v>
      </c>
    </row>
    <row r="8" spans="1:6" x14ac:dyDescent="0.35">
      <c r="A8" s="2" t="s">
        <v>42</v>
      </c>
      <c r="B8" s="2" t="s">
        <v>13</v>
      </c>
      <c r="C8" t="s">
        <v>28</v>
      </c>
      <c r="D8">
        <v>0.5386025333728498</v>
      </c>
      <c r="E8">
        <v>0.24534964667661491</v>
      </c>
      <c r="F8">
        <v>0.54308770352534497</v>
      </c>
    </row>
    <row r="9" spans="1:6" x14ac:dyDescent="0.35">
      <c r="A9" s="2"/>
      <c r="B9" s="2"/>
      <c r="C9" t="s">
        <v>14</v>
      </c>
      <c r="D9">
        <v>0.42113455359902813</v>
      </c>
      <c r="E9">
        <v>0.29398726154144228</v>
      </c>
      <c r="F9">
        <v>6.2149820857811823E-2</v>
      </c>
    </row>
    <row r="10" spans="1:6" x14ac:dyDescent="0.35">
      <c r="A10" s="2"/>
      <c r="B10" s="2"/>
      <c r="C10" t="s">
        <v>35</v>
      </c>
      <c r="D10">
        <v>0.71636777978412103</v>
      </c>
      <c r="E10">
        <v>0.51536053398883674</v>
      </c>
      <c r="F10">
        <v>1.6375473242273911E-2</v>
      </c>
    </row>
    <row r="11" spans="1:6" x14ac:dyDescent="0.35">
      <c r="A11" s="2"/>
      <c r="B11" s="2" t="s">
        <v>18</v>
      </c>
      <c r="C11" t="s">
        <v>28</v>
      </c>
      <c r="D11">
        <v>0.34941145726443279</v>
      </c>
      <c r="E11">
        <v>0.14794499656051749</v>
      </c>
      <c r="F11">
        <v>0.42541895195228868</v>
      </c>
    </row>
    <row r="12" spans="1:6" x14ac:dyDescent="0.35">
      <c r="A12" s="2"/>
      <c r="B12" s="2"/>
      <c r="C12" t="s">
        <v>14</v>
      </c>
      <c r="D12">
        <v>0.44483642891177672</v>
      </c>
      <c r="E12">
        <v>0.27913529100079681</v>
      </c>
      <c r="F12">
        <v>2.8437581386068E-2</v>
      </c>
    </row>
    <row r="13" spans="1:6" x14ac:dyDescent="0.35">
      <c r="A13" s="2"/>
      <c r="B13" s="2"/>
      <c r="C13" t="s">
        <v>35</v>
      </c>
      <c r="D13">
        <v>0.72627808641462233</v>
      </c>
      <c r="E13">
        <v>0.49211641503122289</v>
      </c>
      <c r="F13">
        <v>2.966465343853604E-2</v>
      </c>
    </row>
    <row r="14" spans="1:6" x14ac:dyDescent="0.35">
      <c r="A14" s="2" t="s">
        <v>62</v>
      </c>
      <c r="B14" s="2" t="s">
        <v>13</v>
      </c>
      <c r="C14" t="s">
        <v>28</v>
      </c>
      <c r="D14">
        <v>6.1842497755839949E-2</v>
      </c>
      <c r="E14">
        <v>0.33489678272650691</v>
      </c>
      <c r="F14">
        <v>7.5184684083085693E-2</v>
      </c>
    </row>
    <row r="15" spans="1:6" x14ac:dyDescent="0.35">
      <c r="A15" s="2"/>
      <c r="B15" s="2"/>
      <c r="C15" t="s">
        <v>14</v>
      </c>
      <c r="D15">
        <v>9.8033598389063364E-2</v>
      </c>
      <c r="E15">
        <v>0.14987942409846289</v>
      </c>
      <c r="F15">
        <v>5.5500712941291233E-2</v>
      </c>
    </row>
    <row r="16" spans="1:6" x14ac:dyDescent="0.35">
      <c r="A16" s="2"/>
      <c r="B16" s="2"/>
      <c r="C16" t="s">
        <v>35</v>
      </c>
      <c r="D16">
        <v>0.95601500580672283</v>
      </c>
      <c r="E16">
        <v>0.70124992964579813</v>
      </c>
      <c r="F16">
        <v>0.50164740069329161</v>
      </c>
    </row>
    <row r="17" spans="1:6" x14ac:dyDescent="0.35">
      <c r="A17" s="2"/>
      <c r="B17" s="2" t="s">
        <v>18</v>
      </c>
      <c r="C17" t="s">
        <v>28</v>
      </c>
      <c r="D17">
        <v>6.2898703501932343E-2</v>
      </c>
      <c r="E17">
        <v>0.30903057761753538</v>
      </c>
      <c r="F17">
        <v>0.10509489238464351</v>
      </c>
    </row>
    <row r="18" spans="1:6" x14ac:dyDescent="0.35">
      <c r="A18" s="2"/>
      <c r="B18" s="2"/>
      <c r="C18" t="s">
        <v>14</v>
      </c>
      <c r="D18">
        <v>8.7202047441050506E-2</v>
      </c>
      <c r="E18">
        <v>0.27753940425634788</v>
      </c>
      <c r="F18">
        <v>7.3177923885247603E-2</v>
      </c>
    </row>
    <row r="19" spans="1:6" x14ac:dyDescent="0.35">
      <c r="A19" s="2"/>
      <c r="B19" s="2"/>
      <c r="C19" t="s">
        <v>35</v>
      </c>
      <c r="D19">
        <v>0.94765454458062437</v>
      </c>
      <c r="E19">
        <v>0.4567068386524914</v>
      </c>
      <c r="F19">
        <v>0.40098560041851239</v>
      </c>
    </row>
  </sheetData>
  <mergeCells count="9">
    <mergeCell ref="A8:A13"/>
    <mergeCell ref="B17:B19"/>
    <mergeCell ref="A2:A7"/>
    <mergeCell ref="B14:B16"/>
    <mergeCell ref="B11:B13"/>
    <mergeCell ref="B8:B10"/>
    <mergeCell ref="B2:B4"/>
    <mergeCell ref="A14:A19"/>
    <mergeCell ref="B5:B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9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24</v>
      </c>
      <c r="E1" t="s">
        <v>15</v>
      </c>
      <c r="F1" t="s">
        <v>20</v>
      </c>
    </row>
    <row r="2" spans="1:6" x14ac:dyDescent="0.35">
      <c r="A2" s="2" t="s">
        <v>12</v>
      </c>
      <c r="B2" s="2" t="s">
        <v>13</v>
      </c>
      <c r="C2" t="s">
        <v>28</v>
      </c>
      <c r="D2">
        <v>5.3921756366477256E-4</v>
      </c>
      <c r="E2">
        <v>0.70107767455092274</v>
      </c>
      <c r="F2">
        <v>0.77506073104577045</v>
      </c>
    </row>
    <row r="3" spans="1:6" x14ac:dyDescent="0.35">
      <c r="A3" s="2"/>
      <c r="B3" s="2"/>
      <c r="C3" t="s">
        <v>14</v>
      </c>
      <c r="D3">
        <v>3.2682231809461607E-4</v>
      </c>
      <c r="E3">
        <v>0.96664967534565338</v>
      </c>
      <c r="F3">
        <v>0.53987902094698537</v>
      </c>
    </row>
    <row r="4" spans="1:6" x14ac:dyDescent="0.35">
      <c r="A4" s="2"/>
      <c r="B4" s="2"/>
      <c r="C4" t="s">
        <v>35</v>
      </c>
      <c r="D4">
        <v>0.85194431059481901</v>
      </c>
      <c r="E4">
        <v>0.35470910239001108</v>
      </c>
      <c r="F4">
        <v>0.31117627875422499</v>
      </c>
    </row>
    <row r="5" spans="1:6" x14ac:dyDescent="0.35">
      <c r="A5" s="2"/>
      <c r="B5" s="2" t="s">
        <v>18</v>
      </c>
      <c r="C5" t="s">
        <v>28</v>
      </c>
      <c r="D5">
        <v>4.0294767600268391E-4</v>
      </c>
      <c r="E5">
        <v>0.84042030553745339</v>
      </c>
      <c r="F5">
        <v>0.76729306426623356</v>
      </c>
    </row>
    <row r="6" spans="1:6" x14ac:dyDescent="0.35">
      <c r="A6" s="2"/>
      <c r="B6" s="2"/>
      <c r="C6" t="s">
        <v>14</v>
      </c>
      <c r="D6">
        <v>3.9277486108246122E-4</v>
      </c>
      <c r="E6">
        <v>0.96701425829997556</v>
      </c>
      <c r="F6">
        <v>0.54462326024532814</v>
      </c>
    </row>
    <row r="7" spans="1:6" x14ac:dyDescent="0.35">
      <c r="A7" s="2"/>
      <c r="B7" s="2"/>
      <c r="C7" t="s">
        <v>35</v>
      </c>
      <c r="D7">
        <v>0.86309005339976075</v>
      </c>
      <c r="E7">
        <v>0.36127647906875382</v>
      </c>
      <c r="F7">
        <v>0.28775199277162261</v>
      </c>
    </row>
    <row r="8" spans="1:6" x14ac:dyDescent="0.35">
      <c r="A8" s="2" t="s">
        <v>42</v>
      </c>
      <c r="B8" s="2" t="s">
        <v>13</v>
      </c>
      <c r="C8" t="s">
        <v>28</v>
      </c>
      <c r="D8">
        <v>0.44936884676446559</v>
      </c>
      <c r="E8">
        <v>0.27397064594644388</v>
      </c>
      <c r="F8">
        <v>0.74999747030155717</v>
      </c>
    </row>
    <row r="9" spans="1:6" x14ac:dyDescent="0.35">
      <c r="A9" s="2"/>
      <c r="B9" s="2"/>
      <c r="C9" t="s">
        <v>14</v>
      </c>
      <c r="D9">
        <v>1.947896016537639E-2</v>
      </c>
      <c r="E9">
        <v>6.9138806655226752E-4</v>
      </c>
      <c r="F9">
        <v>0.43649513902820469</v>
      </c>
    </row>
    <row r="10" spans="1:6" x14ac:dyDescent="0.35">
      <c r="A10" s="2"/>
      <c r="B10" s="2"/>
      <c r="C10" t="s">
        <v>35</v>
      </c>
      <c r="D10">
        <v>6.4195105398014791E-4</v>
      </c>
      <c r="E10">
        <v>4.6299996221282529E-5</v>
      </c>
      <c r="F10">
        <v>2.698668812373467E-2</v>
      </c>
    </row>
    <row r="11" spans="1:6" x14ac:dyDescent="0.35">
      <c r="A11" s="2"/>
      <c r="B11" s="2" t="s">
        <v>18</v>
      </c>
      <c r="C11" t="s">
        <v>28</v>
      </c>
      <c r="D11">
        <v>0.41376700861709509</v>
      </c>
      <c r="E11">
        <v>0.27181552660481501</v>
      </c>
      <c r="F11">
        <v>0.62011621589528554</v>
      </c>
    </row>
    <row r="12" spans="1:6" x14ac:dyDescent="0.35">
      <c r="A12" s="2"/>
      <c r="B12" s="2"/>
      <c r="C12" t="s">
        <v>14</v>
      </c>
      <c r="D12">
        <v>2.0469779293091579E-2</v>
      </c>
      <c r="E12">
        <v>9.5007704898018689E-4</v>
      </c>
      <c r="F12">
        <v>0.49936113194988729</v>
      </c>
    </row>
    <row r="13" spans="1:6" x14ac:dyDescent="0.35">
      <c r="A13" s="2"/>
      <c r="B13" s="2"/>
      <c r="C13" t="s">
        <v>35</v>
      </c>
      <c r="D13">
        <v>5.6985500340843128E-4</v>
      </c>
      <c r="E13">
        <v>2.9298678947058137E-4</v>
      </c>
      <c r="F13">
        <v>2.941142120835253E-2</v>
      </c>
    </row>
    <row r="14" spans="1:6" x14ac:dyDescent="0.35">
      <c r="A14" s="2" t="s">
        <v>62</v>
      </c>
      <c r="B14" s="2" t="s">
        <v>13</v>
      </c>
      <c r="C14" t="s">
        <v>28</v>
      </c>
      <c r="D14">
        <v>0.5551717134063896</v>
      </c>
      <c r="E14">
        <v>0.34437070389763907</v>
      </c>
      <c r="F14">
        <v>0.40735189114097359</v>
      </c>
    </row>
    <row r="15" spans="1:6" x14ac:dyDescent="0.35">
      <c r="A15" s="2"/>
      <c r="B15" s="2"/>
      <c r="C15" t="s">
        <v>14</v>
      </c>
      <c r="D15">
        <v>0.63563031917271107</v>
      </c>
      <c r="E15">
        <v>0.82532984250326602</v>
      </c>
      <c r="F15">
        <v>0.17115287344785951</v>
      </c>
    </row>
    <row r="16" spans="1:6" x14ac:dyDescent="0.35">
      <c r="A16" s="2"/>
      <c r="B16" s="2"/>
      <c r="C16" t="s">
        <v>35</v>
      </c>
      <c r="D16">
        <v>0.6051207720054077</v>
      </c>
      <c r="E16">
        <v>0.58326885950289542</v>
      </c>
      <c r="F16">
        <v>0.44142301081868712</v>
      </c>
    </row>
    <row r="17" spans="1:6" x14ac:dyDescent="0.35">
      <c r="A17" s="2"/>
      <c r="B17" s="2" t="s">
        <v>18</v>
      </c>
      <c r="C17" t="s">
        <v>28</v>
      </c>
      <c r="D17">
        <v>0.55612663144025065</v>
      </c>
      <c r="E17">
        <v>0.32556511351937101</v>
      </c>
      <c r="F17">
        <v>0.35435163058932351</v>
      </c>
    </row>
    <row r="18" spans="1:6" x14ac:dyDescent="0.35">
      <c r="A18" s="2"/>
      <c r="B18" s="2"/>
      <c r="C18" t="s">
        <v>14</v>
      </c>
      <c r="D18">
        <v>0.49279312803897041</v>
      </c>
      <c r="E18">
        <v>0.61567868254561597</v>
      </c>
      <c r="F18">
        <v>0.13467926471483249</v>
      </c>
    </row>
    <row r="19" spans="1:6" x14ac:dyDescent="0.35">
      <c r="A19" s="2"/>
      <c r="B19" s="2"/>
      <c r="C19" t="s">
        <v>35</v>
      </c>
      <c r="D19">
        <v>0.69737502952297525</v>
      </c>
      <c r="E19">
        <v>0.71216279155192763</v>
      </c>
      <c r="F19">
        <v>0.49328339492532958</v>
      </c>
    </row>
  </sheetData>
  <mergeCells count="9">
    <mergeCell ref="A8:A13"/>
    <mergeCell ref="B17:B19"/>
    <mergeCell ref="A2:A7"/>
    <mergeCell ref="B14:B16"/>
    <mergeCell ref="B11:B13"/>
    <mergeCell ref="B8:B10"/>
    <mergeCell ref="B2:B4"/>
    <mergeCell ref="A14:A19"/>
    <mergeCell ref="B5:B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9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24</v>
      </c>
      <c r="E1" t="s">
        <v>15</v>
      </c>
      <c r="F1" t="s">
        <v>20</v>
      </c>
    </row>
    <row r="2" spans="1:6" x14ac:dyDescent="0.35">
      <c r="A2" s="2" t="s">
        <v>12</v>
      </c>
      <c r="B2" s="2" t="s">
        <v>13</v>
      </c>
      <c r="C2" t="s">
        <v>28</v>
      </c>
      <c r="D2">
        <v>1.0447034358434519</v>
      </c>
      <c r="E2">
        <v>1.0370793184219449</v>
      </c>
      <c r="F2">
        <v>1.0862466475582711</v>
      </c>
    </row>
    <row r="3" spans="1:6" x14ac:dyDescent="0.35">
      <c r="A3" s="2"/>
      <c r="B3" s="2"/>
      <c r="C3" t="s">
        <v>14</v>
      </c>
      <c r="D3">
        <v>1.045832876026296</v>
      </c>
      <c r="E3">
        <v>1.0648410649853239</v>
      </c>
      <c r="F3">
        <v>1.1818192156309739</v>
      </c>
    </row>
    <row r="4" spans="1:6" x14ac:dyDescent="0.35">
      <c r="A4" s="2"/>
      <c r="B4" s="2"/>
      <c r="C4" t="s">
        <v>35</v>
      </c>
      <c r="D4">
        <v>1.065203995814479</v>
      </c>
      <c r="E4">
        <v>1.1090538848602121</v>
      </c>
      <c r="F4">
        <v>1.6619063690273499</v>
      </c>
    </row>
    <row r="5" spans="1:6" x14ac:dyDescent="0.35">
      <c r="A5" s="2"/>
      <c r="B5" s="2" t="s">
        <v>18</v>
      </c>
      <c r="C5" t="s">
        <v>28</v>
      </c>
      <c r="D5">
        <v>1.0586102832158779</v>
      </c>
      <c r="E5">
        <v>1.049627613580765</v>
      </c>
      <c r="F5">
        <v>1.1201952147098779</v>
      </c>
    </row>
    <row r="6" spans="1:6" x14ac:dyDescent="0.35">
      <c r="A6" s="2"/>
      <c r="B6" s="2"/>
      <c r="C6" t="s">
        <v>14</v>
      </c>
      <c r="D6">
        <v>1.044680282341069</v>
      </c>
      <c r="E6">
        <v>1.049151873616639</v>
      </c>
      <c r="F6">
        <v>1.164951407605558</v>
      </c>
    </row>
    <row r="7" spans="1:6" x14ac:dyDescent="0.35">
      <c r="A7" s="2"/>
      <c r="B7" s="2"/>
      <c r="C7" t="s">
        <v>35</v>
      </c>
      <c r="D7">
        <v>1.089380441780017</v>
      </c>
      <c r="E7">
        <v>1.103085173899955</v>
      </c>
      <c r="F7">
        <v>1.7888809923282329</v>
      </c>
    </row>
    <row r="8" spans="1:6" x14ac:dyDescent="0.35">
      <c r="A8" s="2" t="s">
        <v>42</v>
      </c>
      <c r="B8" s="2" t="s">
        <v>13</v>
      </c>
      <c r="C8" t="s">
        <v>28</v>
      </c>
      <c r="D8">
        <v>1.0991193475853851</v>
      </c>
      <c r="E8">
        <v>1.129287334513414</v>
      </c>
      <c r="F8">
        <v>1.3712237906440661</v>
      </c>
    </row>
    <row r="9" spans="1:6" x14ac:dyDescent="0.35">
      <c r="A9" s="2"/>
      <c r="B9" s="2"/>
      <c r="C9" t="s">
        <v>14</v>
      </c>
      <c r="D9">
        <v>1.08328608700811</v>
      </c>
      <c r="E9">
        <v>1.0751661385489311</v>
      </c>
      <c r="F9">
        <v>1.2864462627504489</v>
      </c>
    </row>
    <row r="10" spans="1:6" x14ac:dyDescent="0.35">
      <c r="A10" s="2"/>
      <c r="B10" s="2"/>
      <c r="C10" t="s">
        <v>35</v>
      </c>
      <c r="D10">
        <v>1.0856914296731901</v>
      </c>
      <c r="E10">
        <v>1.2041179316789541</v>
      </c>
      <c r="F10">
        <v>1.26137453577909</v>
      </c>
    </row>
    <row r="11" spans="1:6" x14ac:dyDescent="0.35">
      <c r="A11" s="2"/>
      <c r="B11" s="2" t="s">
        <v>18</v>
      </c>
      <c r="C11" t="s">
        <v>28</v>
      </c>
      <c r="D11">
        <v>1.0455499298503861</v>
      </c>
      <c r="E11">
        <v>1.042018091716818</v>
      </c>
      <c r="F11">
        <v>1.073542907784891</v>
      </c>
    </row>
    <row r="12" spans="1:6" x14ac:dyDescent="0.35">
      <c r="A12" s="2"/>
      <c r="B12" s="2"/>
      <c r="C12" t="s">
        <v>14</v>
      </c>
      <c r="D12">
        <v>1.0247106458247339</v>
      </c>
      <c r="E12">
        <v>1.090376901004483</v>
      </c>
      <c r="F12">
        <v>1.097253590315366</v>
      </c>
    </row>
    <row r="13" spans="1:6" x14ac:dyDescent="0.35">
      <c r="A13" s="2"/>
      <c r="B13" s="2"/>
      <c r="C13" t="s">
        <v>35</v>
      </c>
      <c r="D13">
        <v>1.038883957876453</v>
      </c>
      <c r="E13">
        <v>1.1420400829712021</v>
      </c>
      <c r="F13">
        <v>1.1907542587326081</v>
      </c>
    </row>
    <row r="14" spans="1:6" x14ac:dyDescent="0.35">
      <c r="A14" s="2" t="s">
        <v>62</v>
      </c>
      <c r="B14" s="2" t="s">
        <v>13</v>
      </c>
      <c r="C14" t="s">
        <v>28</v>
      </c>
      <c r="D14">
        <v>1.0509207331452739</v>
      </c>
      <c r="E14">
        <v>1.034327772292404</v>
      </c>
      <c r="F14">
        <v>1.055121073304945</v>
      </c>
    </row>
    <row r="15" spans="1:6" x14ac:dyDescent="0.35">
      <c r="A15" s="2"/>
      <c r="B15" s="2"/>
      <c r="C15" t="s">
        <v>14</v>
      </c>
      <c r="D15">
        <v>1.03373291429202</v>
      </c>
      <c r="E15">
        <v>1.0821469564291899</v>
      </c>
      <c r="F15">
        <v>1.074227260717902</v>
      </c>
    </row>
    <row r="16" spans="1:6" x14ac:dyDescent="0.35">
      <c r="A16" s="2"/>
      <c r="B16" s="2"/>
      <c r="C16" t="s">
        <v>35</v>
      </c>
      <c r="D16">
        <v>1.024610922994122</v>
      </c>
      <c r="E16">
        <v>1.11943263669093</v>
      </c>
      <c r="F16">
        <v>1.1401716294075119</v>
      </c>
    </row>
    <row r="17" spans="1:6" x14ac:dyDescent="0.35">
      <c r="A17" s="2"/>
      <c r="B17" s="2" t="s">
        <v>18</v>
      </c>
      <c r="C17" t="s">
        <v>28</v>
      </c>
      <c r="D17">
        <v>1.0645832758282781</v>
      </c>
      <c r="E17">
        <v>1.076921634594493</v>
      </c>
      <c r="F17">
        <v>1.111242873278846</v>
      </c>
    </row>
    <row r="18" spans="1:6" x14ac:dyDescent="0.35">
      <c r="A18" s="2"/>
      <c r="B18" s="2"/>
      <c r="C18" t="s">
        <v>14</v>
      </c>
      <c r="D18">
        <v>1.036832637316863</v>
      </c>
      <c r="E18">
        <v>1.045414353505784</v>
      </c>
      <c r="F18">
        <v>1.188453560625677</v>
      </c>
    </row>
    <row r="19" spans="1:6" x14ac:dyDescent="0.35">
      <c r="A19" s="2"/>
      <c r="B19" s="2"/>
      <c r="C19" t="s">
        <v>35</v>
      </c>
      <c r="D19">
        <v>1.091549512975784</v>
      </c>
      <c r="E19">
        <v>1.1532892739630529</v>
      </c>
      <c r="F19">
        <v>1.7774051205856909</v>
      </c>
    </row>
  </sheetData>
  <mergeCells count="9">
    <mergeCell ref="A8:A13"/>
    <mergeCell ref="B17:B19"/>
    <mergeCell ref="A2:A7"/>
    <mergeCell ref="B14:B16"/>
    <mergeCell ref="B11:B13"/>
    <mergeCell ref="B8:B10"/>
    <mergeCell ref="B2:B4"/>
    <mergeCell ref="A14:A19"/>
    <mergeCell ref="B5:B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5"/>
  <sheetViews>
    <sheetView workbookViewId="0"/>
  </sheetViews>
  <sheetFormatPr defaultRowHeight="14.5" x14ac:dyDescent="0.35"/>
  <sheetData>
    <row r="1" spans="1:5" x14ac:dyDescent="0.35">
      <c r="A1" t="s">
        <v>94</v>
      </c>
      <c r="B1" t="s">
        <v>95</v>
      </c>
      <c r="C1" t="s">
        <v>96</v>
      </c>
      <c r="D1" t="s">
        <v>97</v>
      </c>
      <c r="E1" t="s">
        <v>98</v>
      </c>
    </row>
    <row r="2" spans="1:5" x14ac:dyDescent="0.35">
      <c r="A2" t="s">
        <v>99</v>
      </c>
      <c r="B2" t="s">
        <v>100</v>
      </c>
      <c r="C2" t="s">
        <v>101</v>
      </c>
      <c r="D2" t="s">
        <v>102</v>
      </c>
      <c r="E2" t="s">
        <v>103</v>
      </c>
    </row>
    <row r="3" spans="1:5" x14ac:dyDescent="0.35">
      <c r="A3" t="s">
        <v>104</v>
      </c>
      <c r="B3" t="s">
        <v>105</v>
      </c>
      <c r="C3" t="s">
        <v>106</v>
      </c>
      <c r="D3" t="s">
        <v>107</v>
      </c>
      <c r="E3" t="s">
        <v>108</v>
      </c>
    </row>
    <row r="4" spans="1:5" x14ac:dyDescent="0.35">
      <c r="A4" t="s">
        <v>109</v>
      </c>
      <c r="B4" t="s">
        <v>110</v>
      </c>
      <c r="C4" t="s">
        <v>106</v>
      </c>
      <c r="D4" t="s">
        <v>111</v>
      </c>
      <c r="E4" t="s">
        <v>112</v>
      </c>
    </row>
    <row r="5" spans="1:5" x14ac:dyDescent="0.35">
      <c r="A5" t="s">
        <v>113</v>
      </c>
      <c r="B5" t="s">
        <v>114</v>
      </c>
      <c r="C5" t="s">
        <v>115</v>
      </c>
      <c r="D5" t="s">
        <v>116</v>
      </c>
      <c r="E5" t="s">
        <v>117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5"/>
  <sheetViews>
    <sheetView workbookViewId="0"/>
  </sheetViews>
  <sheetFormatPr defaultRowHeight="14.5" x14ac:dyDescent="0.35"/>
  <sheetData>
    <row r="1" spans="1:3" x14ac:dyDescent="0.35">
      <c r="A1" t="s">
        <v>118</v>
      </c>
      <c r="B1" t="s">
        <v>119</v>
      </c>
      <c r="C1" t="s">
        <v>97</v>
      </c>
    </row>
    <row r="2" spans="1:3" x14ac:dyDescent="0.35">
      <c r="A2" t="s">
        <v>43</v>
      </c>
      <c r="B2" t="s">
        <v>120</v>
      </c>
      <c r="C2" t="s">
        <v>121</v>
      </c>
    </row>
    <row r="3" spans="1:3" x14ac:dyDescent="0.35">
      <c r="A3" t="s">
        <v>16</v>
      </c>
      <c r="B3" t="s">
        <v>122</v>
      </c>
      <c r="C3" t="s">
        <v>123</v>
      </c>
    </row>
    <row r="4" spans="1:3" x14ac:dyDescent="0.35">
      <c r="A4" t="s">
        <v>25</v>
      </c>
      <c r="B4" t="s">
        <v>124</v>
      </c>
      <c r="C4" t="s">
        <v>125</v>
      </c>
    </row>
    <row r="5" spans="1:3" x14ac:dyDescent="0.35">
      <c r="A5" t="s">
        <v>21</v>
      </c>
      <c r="B5" t="s">
        <v>126</v>
      </c>
      <c r="C5" t="s">
        <v>127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2"/>
  <sheetViews>
    <sheetView workbookViewId="0">
      <selection activeCell="H10" sqref="H10"/>
    </sheetView>
  </sheetViews>
  <sheetFormatPr defaultRowHeight="14.5" x14ac:dyDescent="0.35"/>
  <cols>
    <col min="1" max="1" width="20.90625" customWidth="1"/>
  </cols>
  <sheetData>
    <row r="1" spans="1:2" x14ac:dyDescent="0.35">
      <c r="A1" t="s">
        <v>128</v>
      </c>
      <c r="B1" t="s">
        <v>129</v>
      </c>
    </row>
    <row r="2" spans="1:2" x14ac:dyDescent="0.35">
      <c r="A2" t="s">
        <v>130</v>
      </c>
      <c r="B2">
        <v>54</v>
      </c>
    </row>
    <row r="3" spans="1:2" x14ac:dyDescent="0.35">
      <c r="A3" t="s">
        <v>131</v>
      </c>
      <c r="B3">
        <v>22</v>
      </c>
    </row>
    <row r="4" spans="1:2" x14ac:dyDescent="0.35">
      <c r="A4" t="s">
        <v>132</v>
      </c>
      <c r="B4" t="s">
        <v>133</v>
      </c>
    </row>
    <row r="5" spans="1:2" x14ac:dyDescent="0.35">
      <c r="A5" t="s">
        <v>134</v>
      </c>
      <c r="B5" t="s">
        <v>135</v>
      </c>
    </row>
    <row r="6" spans="1:2" x14ac:dyDescent="0.35">
      <c r="A6" t="s">
        <v>136</v>
      </c>
      <c r="B6" t="s">
        <v>137</v>
      </c>
    </row>
    <row r="7" spans="1:2" x14ac:dyDescent="0.35">
      <c r="A7" t="s">
        <v>138</v>
      </c>
      <c r="B7" t="s">
        <v>139</v>
      </c>
    </row>
    <row r="8" spans="1:2" x14ac:dyDescent="0.35">
      <c r="A8" t="s">
        <v>140</v>
      </c>
      <c r="B8" t="s">
        <v>141</v>
      </c>
    </row>
    <row r="9" spans="1:2" x14ac:dyDescent="0.35">
      <c r="A9" t="s">
        <v>142</v>
      </c>
      <c r="B9" t="s">
        <v>143</v>
      </c>
    </row>
    <row r="10" spans="1:2" x14ac:dyDescent="0.35">
      <c r="A10" t="s">
        <v>144</v>
      </c>
      <c r="B10" t="s">
        <v>145</v>
      </c>
    </row>
    <row r="11" spans="1:2" x14ac:dyDescent="0.35">
      <c r="A11" t="s">
        <v>146</v>
      </c>
      <c r="B11" t="s">
        <v>147</v>
      </c>
    </row>
    <row r="12" spans="1:2" x14ac:dyDescent="0.35">
      <c r="A12" t="s">
        <v>148</v>
      </c>
      <c r="B12" t="s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 Results</vt:lpstr>
      <vt:lpstr>Significant Only</vt:lpstr>
      <vt:lpstr>Results Pivot - Coef+Sig</vt:lpstr>
      <vt:lpstr>Results Pivot - Coef</vt:lpstr>
      <vt:lpstr>Results Pivot - Pval</vt:lpstr>
      <vt:lpstr>Results Pivot - R_sq</vt:lpstr>
      <vt:lpstr>Diagnostics Full</vt:lpstr>
      <vt:lpstr>Diagnostics DW</vt:lpstr>
      <vt:lpstr>Diagnostics BP</vt:lpstr>
      <vt:lpstr>Diagnostics JB</vt:lpstr>
      <vt:lpstr>Diagnostics VIF</vt:lpstr>
      <vt:lpstr>Diagnostic Guide</vt:lpstr>
      <vt:lpstr>Significance Legend</vt:lpstr>
      <vt:lpstr>Summary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Ma, Lok Yi</cp:lastModifiedBy>
  <dcterms:created xsi:type="dcterms:W3CDTF">2026-06-20T12:54:34Z</dcterms:created>
  <dcterms:modified xsi:type="dcterms:W3CDTF">2026-07-15T15:25:33Z</dcterms:modified>
</cp:coreProperties>
</file>