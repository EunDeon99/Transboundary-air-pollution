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ckal\Desktop\Master\Leipzig\Thesis\TAP\Data\RQ(2)_monthly regression\"/>
    </mc:Choice>
  </mc:AlternateContent>
  <xr:revisionPtr revIDLastSave="0" documentId="13_ncr:1_{16FF227C-A113-47C9-9473-624B8AD624F3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heet1" sheetId="5" r:id="rId1"/>
    <sheet name="All_regressions" sheetId="1" r:id="rId2"/>
    <sheet name="Beta1_pivot" sheetId="2" r:id="rId3"/>
    <sheet name="SE_pivot" sheetId="3" r:id="rId4"/>
    <sheet name="Diagnostics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<sst xmlns="http://schemas.openxmlformats.org/spreadsheetml/2006/main" count="405" uniqueCount="101">
  <si>
    <t>Pollutant</t>
  </si>
  <si>
    <t>Period</t>
  </si>
  <si>
    <t>Lag</t>
  </si>
  <si>
    <t>beta1</t>
  </si>
  <si>
    <t>SE</t>
  </si>
  <si>
    <t>t_stat</t>
  </si>
  <si>
    <t>p_value</t>
  </si>
  <si>
    <t>sig</t>
  </si>
  <si>
    <t>N</t>
  </si>
  <si>
    <t>R2</t>
  </si>
  <si>
    <t>adj_R2</t>
  </si>
  <si>
    <t>DW</t>
  </si>
  <si>
    <t>LB_p_lag6</t>
  </si>
  <si>
    <t>beta_dTemp_mean</t>
  </si>
  <si>
    <t>beta_dRH_mean</t>
  </si>
  <si>
    <t>beta_dRainfall_mean</t>
  </si>
  <si>
    <t>beta_dPressure_mean</t>
  </si>
  <si>
    <t>NOx</t>
  </si>
  <si>
    <t>2001-2023</t>
  </si>
  <si>
    <t>*</t>
  </si>
  <si>
    <t>2001-2013</t>
  </si>
  <si>
    <t>2014-2023</t>
  </si>
  <si>
    <t>PM10</t>
  </si>
  <si>
    <t>**</t>
  </si>
  <si>
    <t>SO2</t>
  </si>
  <si>
    <t>-0.0014</t>
  </si>
  <si>
    <t>-0.0037</t>
  </si>
  <si>
    <t>-0.0064</t>
  </si>
  <si>
    <t>-0.0000</t>
  </si>
  <si>
    <t>-0.0022</t>
  </si>
  <si>
    <t>-0.0120</t>
  </si>
  <si>
    <t>-0.0112*</t>
  </si>
  <si>
    <t>-0.0136</t>
  </si>
  <si>
    <t>-0.0021</t>
  </si>
  <si>
    <t>-0.0024</t>
  </si>
  <si>
    <t>-0.0026</t>
  </si>
  <si>
    <t>-0.0029*</t>
  </si>
  <si>
    <t>-0.0047**</t>
  </si>
  <si>
    <t>-0.0096**</t>
  </si>
  <si>
    <t>-0.0031</t>
  </si>
  <si>
    <t>-0.0028</t>
  </si>
  <si>
    <t>-0.0029</t>
  </si>
  <si>
    <t>+0.0004</t>
  </si>
  <si>
    <t>+0.0000</t>
  </si>
  <si>
    <t>+0.0014</t>
  </si>
  <si>
    <t>+0.0022</t>
  </si>
  <si>
    <t>+0.0020</t>
  </si>
  <si>
    <t>+0.0006</t>
  </si>
  <si>
    <t>+0.0003</t>
  </si>
  <si>
    <t>+0.0010</t>
  </si>
  <si>
    <t>+0.0028*</t>
  </si>
  <si>
    <t>+0.0067*</t>
  </si>
  <si>
    <t>+0.0009</t>
  </si>
  <si>
    <t>+0.0027</t>
  </si>
  <si>
    <t>+0.0083*</t>
  </si>
  <si>
    <t>+0.0032</t>
  </si>
  <si>
    <t>+0.0126</t>
  </si>
  <si>
    <t>+0.0015</t>
  </si>
  <si>
    <t>+0.0022*</t>
  </si>
  <si>
    <t>+0.0034</t>
  </si>
  <si>
    <t>+0.0013</t>
  </si>
  <si>
    <t>+0.0036*</t>
  </si>
  <si>
    <t>+0.0089**</t>
  </si>
  <si>
    <t>(0.0028)</t>
  </si>
  <si>
    <t>(0.0027)</t>
  </si>
  <si>
    <t>(0.0055)</t>
  </si>
  <si>
    <t>(0.0020)</t>
  </si>
  <si>
    <t>(0.0023)</t>
  </si>
  <si>
    <t>(0.0043)</t>
  </si>
  <si>
    <t>(0.0091)</t>
  </si>
  <si>
    <t>(0.0066)</t>
  </si>
  <si>
    <t>(0.0110)</t>
  </si>
  <si>
    <t>(0.0016)</t>
  </si>
  <si>
    <t>(0.0015)</t>
  </si>
  <si>
    <t>(0.0029)</t>
  </si>
  <si>
    <t>(0.0019)</t>
  </si>
  <si>
    <t>(0.0046)</t>
  </si>
  <si>
    <t>(0.0048)</t>
  </si>
  <si>
    <t>(0.0036)</t>
  </si>
  <si>
    <t>(0.0061)</t>
  </si>
  <si>
    <t>(0.0018)</t>
  </si>
  <si>
    <t>(0.0017)</t>
  </si>
  <si>
    <t>(0.0033)</t>
  </si>
  <si>
    <t>(0.0022)</t>
  </si>
  <si>
    <t>(0.0052)</t>
  </si>
  <si>
    <t>(0.0045)</t>
  </si>
  <si>
    <t>(0.0037)</t>
  </si>
  <si>
    <t>(0.0040)</t>
  </si>
  <si>
    <t>(0.0014)</t>
  </si>
  <si>
    <t>(0.0031)</t>
  </si>
  <si>
    <t>(0.0078)</t>
  </si>
  <si>
    <t>(0.0011)</t>
  </si>
  <si>
    <t>(0.0013)</t>
  </si>
  <si>
    <t>(0.0024)</t>
  </si>
  <si>
    <t>(0.0010)</t>
  </si>
  <si>
    <t>(0.0012)</t>
  </si>
  <si>
    <t>(0.0039)</t>
  </si>
  <si>
    <t>Row Labels</t>
  </si>
  <si>
    <t>Grand Total</t>
  </si>
  <si>
    <t>Column Labels</t>
  </si>
  <si>
    <t>Average of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</si>
</sst>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al" refreshedDate="46194.636776157407" createdVersion="8" refreshedVersion="8" minRefreshableVersion="3" recordCount="45" xr:uid="{9F8D98B0-740E-4DE1-93BD-91645D99E86C}">
  <cacheSource type="worksheet">
    <worksheetSource ref="A1:Q46" sheet="All_regressions"/>
  </cacheSource>
  <cacheFields count="17">
    <cacheField name="Pollutant" numFmtId="0">
      <sharedItems count="3">
        <s v="NOx"/>
        <s v="PM10"/>
        <s v="SO2"/>
      </sharedItems>
    </cacheField>
    <cacheField name="Period" numFmtId="0">
      <sharedItems count="3">
        <s v="2001-2023"/>
        <s v="2001-2013"/>
        <s v="2014-2023"/>
      </sharedItems>
    </cacheField>
    <cacheField name="Lag" numFmtId="0">
      <sharedItems containsSemiMixedTypes="0" containsString="0" containsNumber="1" containsInteger="1" minValue="0" maxValue="6" count="5">
        <n v="0"/>
        <n v="1"/>
        <n v="2"/>
        <n v="3"/>
        <n v="6"/>
      </sharedItems>
    </cacheField>
    <cacheField name="beta1" numFmtId="0">
      <sharedItems containsSemiMixedTypes="0" containsString="0" containsNumber="1" minValue="-1.3566526552731009E-2" maxValue="1.2628653857211781E-2"/>
    </cacheField>
    <cacheField name="SE" numFmtId="0">
      <sharedItems containsSemiMixedTypes="0" containsString="0" containsNumber="1" minValue="9.6660389941357868E-4" maxValue="1.1018618412096341E-2"/>
    </cacheField>
    <cacheField name="t_stat" numFmtId="0">
      <sharedItems containsSemiMixedTypes="0" containsString="0" containsNumber="1" minValue="-2.5209399251885949" maxValue="2.2700465127498108"/>
    </cacheField>
    <cacheField name="p_value" numFmtId="0">
      <sharedItems containsSemiMixedTypes="0" containsString="0" containsNumber="1" minValue="1.1704183223578159E-2" maxValue="0.99693190713058866"/>
    </cacheField>
    <cacheField name="sig" numFmtId="0">
      <sharedItems containsBlank="1"/>
    </cacheField>
    <cacheField name="N" numFmtId="0">
      <sharedItems containsSemiMixedTypes="0" containsString="0" containsNumber="1" containsInteger="1" minValue="120" maxValue="275"/>
    </cacheField>
    <cacheField name="R2" numFmtId="0">
      <sharedItems containsSemiMixedTypes="0" containsString="0" containsNumber="1" minValue="0.47855876673752967" maxValue="0.89129568860533048"/>
    </cacheField>
    <cacheField name="adj_R2" numFmtId="0">
      <sharedItems containsSemiMixedTypes="0" containsString="0" containsNumber="1" minValue="0.35919904984772072" maxValue="0.86693864355047934"/>
    </cacheField>
    <cacheField name="DW" numFmtId="0">
      <sharedItems containsSemiMixedTypes="0" containsString="0" containsNumber="1" minValue="1.8961344839438281" maxValue="2.3755335446816179"/>
    </cacheField>
    <cacheField name="LB_p_lag6" numFmtId="0">
      <sharedItems containsSemiMixedTypes="0" containsString="0" containsNumber="1" minValue="5.6381433917110141E-9" maxValue="0.58708151834273914"/>
    </cacheField>
    <cacheField name="beta_dTemp_mean" numFmtId="0">
      <sharedItems containsSemiMixedTypes="0" containsString="0" containsNumber="1" minValue="-1.015908213133046E-2" maxValue="1.307379299735573E-2"/>
    </cacheField>
    <cacheField name="beta_dRH_mean" numFmtId="0">
      <sharedItems containsSemiMixedTypes="0" containsString="0" containsNumber="1" minValue="-1.828628153851423E-3" maxValue="1.4605556391745E-4"/>
    </cacheField>
    <cacheField name="beta_dRainfall_mean" numFmtId="0">
      <sharedItems containsSemiMixedTypes="0" containsString="0" containsNumber="1" minValue="-1.615976094624807E-3" maxValue="1.1625146617167E-4"/>
    </cacheField>
    <cacheField name="beta_dPressure_mean" numFmtId="0">
      <sharedItems containsSemiMixedTypes="0" containsString="0" containsNumber="1" minValue="-7.669721159625548E-3" maxValue="8.0673079337287409E-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n v="-3.7051344802334768E-3"/>
    <n v="2.7023106445258072E-3"/>
    <n v="-1.371098651348295"/>
    <n v="0.17034420534672881"/>
    <m/>
    <n v="275"/>
    <n v="0.72825572306047648"/>
    <n v="0.68450028863801082"/>
    <n v="2.1412311953471361"/>
    <n v="8.3049872452354984E-3"/>
    <n v="2.1097460264062609E-3"/>
    <n v="-1.324427063742665E-3"/>
    <n v="-5.1914429525786344E-4"/>
    <n v="-1.3206720884627961E-3"/>
  </r>
  <r>
    <x v="0"/>
    <x v="0"/>
    <x v="1"/>
    <n v="-2.4045914327657939E-3"/>
    <n v="1.5390980784606659E-3"/>
    <n v="-1.562338012383691"/>
    <n v="0.1182083816077406"/>
    <m/>
    <n v="274"/>
    <n v="0.72653520131543159"/>
    <n v="0.68231536152813965"/>
    <n v="2.1300576475754771"/>
    <n v="8.0015627674175759E-3"/>
    <n v="6.6211253990367718E-3"/>
    <n v="-1.176904490739092E-3"/>
    <n v="-4.196144840379824E-4"/>
    <n v="-2.9349505754215508E-4"/>
  </r>
  <r>
    <x v="0"/>
    <x v="0"/>
    <x v="2"/>
    <n v="6.4664119976826787E-6"/>
    <n v="1.68164322317619E-3"/>
    <n v="3.8452936440758791E-3"/>
    <n v="0.99693190713058866"/>
    <m/>
    <n v="273"/>
    <n v="0.72304183795601085"/>
    <n v="0.67806572617108951"/>
    <n v="2.118990073220735"/>
    <n v="4.2045214554588756E-3"/>
    <n v="5.4968317982882261E-3"/>
    <n v="-1.2002597673467219E-3"/>
    <n v="-4.4526972029784029E-4"/>
    <n v="-6.4766564536210183E-4"/>
  </r>
  <r>
    <x v="0"/>
    <x v="0"/>
    <x v="3"/>
    <n v="2.7753005726741629E-3"/>
    <n v="1.597863625145719E-3"/>
    <n v="1.7368820023179801"/>
    <n v="8.2408000814770441E-2"/>
    <s v="*"/>
    <n v="272"/>
    <n v="0.72621268705506192"/>
    <n v="0.6815606789352866"/>
    <n v="2.1106047004380382"/>
    <n v="7.0974855500323727E-3"/>
    <n v="6.1347934725655626E-3"/>
    <n v="-1.251939845548245E-3"/>
    <n v="-3.8525510759924119E-4"/>
    <n v="-4.9859451893068411E-4"/>
  </r>
  <r>
    <x v="0"/>
    <x v="0"/>
    <x v="4"/>
    <n v="2.2051372710783861E-3"/>
    <n v="1.2529797823707381E-3"/>
    <n v="1.7599144871324981"/>
    <n v="7.8422306605570424E-2"/>
    <s v="*"/>
    <n v="269"/>
    <n v="0.72573578124285021"/>
    <n v="0.68042256249166888"/>
    <n v="2.1240453255693872"/>
    <n v="7.1959230998767934E-3"/>
    <n v="5.4264549556850648E-3"/>
    <n v="-1.207120415762316E-3"/>
    <n v="-3.4334018371667341E-4"/>
    <n v="-5.7642968411187386E-4"/>
  </r>
  <r>
    <x v="0"/>
    <x v="1"/>
    <x v="0"/>
    <n v="-1.37363016365472E-3"/>
    <n v="2.787418139250185E-3"/>
    <n v="-0.49279659348999799"/>
    <n v="0.62215631794885817"/>
    <m/>
    <n v="155"/>
    <n v="0.795930589526336"/>
    <n v="0.7505818316432995"/>
    <n v="2.3536225695138362"/>
    <n v="9.3890256615778281E-2"/>
    <n v="1.404570236730277E-3"/>
    <n v="-1.0862676439240271E-3"/>
    <n v="-1.332486130239252E-4"/>
    <n v="4.002058572203296E-4"/>
  </r>
  <r>
    <x v="0"/>
    <x v="1"/>
    <x v="1"/>
    <n v="-2.129222466361512E-3"/>
    <n v="1.5848751033441359E-3"/>
    <n v="-1.3434638867559889"/>
    <n v="0.17912181208928349"/>
    <m/>
    <n v="154"/>
    <n v="0.79733732475739272"/>
    <n v="0.75194088550304872"/>
    <n v="2.3755335446816179"/>
    <n v="0.1213357797446188"/>
    <n v="3.652790501947467E-3"/>
    <n v="-1.0502477416902121E-3"/>
    <n v="-5.3047082447228483E-5"/>
    <n v="7.4746746121077273E-4"/>
  </r>
  <r>
    <x v="0"/>
    <x v="1"/>
    <x v="2"/>
    <n v="4.0791309945749458E-4"/>
    <n v="1.7874242643024819E-3"/>
    <n v="0.22821280185355269"/>
    <n v="0.81948080957838088"/>
    <m/>
    <n v="153"/>
    <n v="0.79138430505103274"/>
    <n v="0.74427753522384665"/>
    <n v="2.3597903175775352"/>
    <n v="0.10413643458432111"/>
    <n v="2.581626703199703E-3"/>
    <n v="-1.074388603998515E-3"/>
    <n v="-9.5700028772088385E-5"/>
    <n v="5.0397959717954691E-4"/>
  </r>
  <r>
    <x v="0"/>
    <x v="1"/>
    <x v="3"/>
    <n v="1.0078553020287831E-3"/>
    <n v="1.5141622935423431E-3"/>
    <n v="0.66561907288744571"/>
    <n v="0.50565461223190855"/>
    <m/>
    <n v="152"/>
    <n v="0.79163292549850151"/>
    <n v="0.74419977032742868"/>
    <n v="2.350238419451613"/>
    <n v="0.109731923968134"/>
    <n v="3.0044778370415422E-3"/>
    <n v="-1.096991096962066E-3"/>
    <n v="-2.470537012545177E-5"/>
    <n v="5.8363090630507105E-4"/>
  </r>
  <r>
    <x v="0"/>
    <x v="1"/>
    <x v="4"/>
    <n v="1.511724943570793E-3"/>
    <n v="1.0994839479151891E-3"/>
    <n v="1.3749404404105059"/>
    <n v="0.16914991039256319"/>
    <m/>
    <n v="149"/>
    <n v="0.79432135377228208"/>
    <n v="0.74632966965248126"/>
    <n v="2.3339000106205621"/>
    <n v="0.14458130866929531"/>
    <n v="2.8013303042007161E-3"/>
    <n v="-1.126813547392784E-3"/>
    <n v="1.023488964663941E-4"/>
    <n v="8.0673079337287409E-4"/>
  </r>
  <r>
    <x v="0"/>
    <x v="2"/>
    <x v="0"/>
    <n v="-6.3616013195691538E-3"/>
    <n v="5.5148850453785583E-3"/>
    <n v="-1.1535328963747189"/>
    <n v="0.24869172321724581"/>
    <m/>
    <n v="120"/>
    <n v="0.74475257133554817"/>
    <n v="0.67686761690351305"/>
    <n v="2.0658868949819649"/>
    <n v="9.0408293543568718E-2"/>
    <n v="2.8119956706040799E-3"/>
    <n v="-1.6777006327895179E-3"/>
    <n v="-8.0250878299815162E-4"/>
    <n v="-3.4769868937243441E-3"/>
  </r>
  <r>
    <x v="0"/>
    <x v="2"/>
    <x v="1"/>
    <n v="-2.5775682041656511E-3"/>
    <n v="2.8791998286770691E-3"/>
    <n v="-0.89523769017101806"/>
    <n v="0.37066004088787119"/>
    <m/>
    <n v="120"/>
    <n v="0.73967610426670016"/>
    <n v="0.6704410256142268"/>
    <n v="2.052889426632226"/>
    <n v="9.9821483616936851E-2"/>
    <n v="8.9740315628998799E-3"/>
    <n v="-1.6932292295292709E-3"/>
    <n v="-5.6698334407625291E-4"/>
    <n v="-1.2901721653102161E-3"/>
  </r>
  <r>
    <x v="0"/>
    <x v="2"/>
    <x v="2"/>
    <n v="-1.426082390666165E-3"/>
    <n v="3.3295259644214978E-3"/>
    <n v="-0.42831394195598199"/>
    <n v="0.66842256980388282"/>
    <m/>
    <n v="120"/>
    <n v="0.73877805970170352"/>
    <n v="0.66930413940960332"/>
    <n v="2.018837371238456"/>
    <n v="7.267563901825759E-2"/>
    <n v="7.8926651582916646E-3"/>
    <n v="-1.529181473151731E-3"/>
    <n v="-7.1951539426931565E-4"/>
    <n v="-1.8570131819280111E-3"/>
  </r>
  <r>
    <x v="0"/>
    <x v="2"/>
    <x v="3"/>
    <n v="6.6668129033886324E-3"/>
    <n v="4.033413932040153E-3"/>
    <n v="1.6528957889567439"/>
    <n v="9.8352074323746028E-2"/>
    <s v="*"/>
    <n v="120"/>
    <n v="0.74791959056940616"/>
    <n v="0.68087692848680148"/>
    <n v="1.993028825775879"/>
    <n v="8.5252809986739092E-2"/>
    <n v="9.93304543752427E-3"/>
    <n v="-1.60101771240642E-3"/>
    <n v="-7.3811944971355846E-4"/>
    <n v="-1.7207398139091369E-3"/>
  </r>
  <r>
    <x v="0"/>
    <x v="2"/>
    <x v="4"/>
    <n v="3.3510706282160762E-3"/>
    <n v="2.3627825402634979E-3"/>
    <n v="1.418272977352526"/>
    <n v="0.1561110829135334"/>
    <m/>
    <n v="120"/>
    <n v="0.7409347295791695"/>
    <n v="0.67203439170128898"/>
    <n v="2.0379740648193052"/>
    <n v="8.7561861315663111E-2"/>
    <n v="8.0761344020036877E-3"/>
    <n v="-1.5094689868761411E-3"/>
    <n v="-6.19119539276696E-4"/>
    <n v="-1.754070562120088E-3"/>
  </r>
  <r>
    <x v="1"/>
    <x v="0"/>
    <x v="0"/>
    <n v="-1.3719612768939419E-3"/>
    <n v="2.2822542185151218E-3"/>
    <n v="-0.60114305661643863"/>
    <n v="0.54774470766249694"/>
    <m/>
    <n v="275"/>
    <n v="0.78699461080079347"/>
    <n v="0.7526971328788874"/>
    <n v="2.3669483489083851"/>
    <n v="7.970606747757914E-9"/>
    <n v="1.8799838385166669E-3"/>
    <n v="-2.979106525618666E-4"/>
    <n v="-8.2635642316869365E-4"/>
    <n v="-2.921253271586449E-3"/>
  </r>
  <r>
    <x v="1"/>
    <x v="0"/>
    <x v="1"/>
    <n v="-4.7279398439719136E-3"/>
    <n v="1.875467081437178E-3"/>
    <n v="-2.5209399251885949"/>
    <n v="1.1704183223578159E-2"/>
    <s v="**"/>
    <n v="274"/>
    <n v="0.79270892705284013"/>
    <n v="0.75918951951244829"/>
    <n v="2.340402288631271"/>
    <n v="4.7263387904020482E-8"/>
    <n v="5.2575887378056756E-3"/>
    <n v="-2.1066622065043779E-4"/>
    <n v="-7.4397588442329514E-4"/>
    <n v="-2.0231635370733109E-3"/>
  </r>
  <r>
    <x v="1"/>
    <x v="0"/>
    <x v="2"/>
    <n v="2.1883182302320108E-3"/>
    <n v="2.1748516394423881E-3"/>
    <n v="1.0061919583595491"/>
    <n v="0.31432323974466381"/>
    <m/>
    <n v="273"/>
    <n v="0.79049481384043552"/>
    <n v="0.75647260412221562"/>
    <n v="2.3567504781159561"/>
    <n v="9.5950627562140308E-9"/>
    <n v="2.8727681234189638E-3"/>
    <n v="-2.3295856956615261E-4"/>
    <n v="-8.2269506866534188E-4"/>
    <n v="-2.6938179936131872E-3"/>
  </r>
  <r>
    <x v="1"/>
    <x v="0"/>
    <x v="3"/>
    <n v="2.7083167567238599E-3"/>
    <n v="1.805651451023534E-3"/>
    <n v="1.499911156823013"/>
    <n v="0.1336374175805484"/>
    <m/>
    <n v="272"/>
    <n v="0.79119031353130986"/>
    <n v="0.75713551487976383"/>
    <n v="2.3687230061800899"/>
    <n v="5.6381433917110141E-9"/>
    <n v="3.8049363731975459E-3"/>
    <n v="-3.1960178327274081E-4"/>
    <n v="-7.2819212318031123E-4"/>
    <n v="-2.5391206651337339E-3"/>
  </r>
  <r>
    <x v="1"/>
    <x v="0"/>
    <x v="4"/>
    <n v="6.3264759663407305E-4"/>
    <n v="1.2467354589983271E-3"/>
    <n v="0.50744333296043853"/>
    <n v="0.61184378749648016"/>
    <m/>
    <n v="269"/>
    <n v="0.78975851947793241"/>
    <n v="0.75502297052211254"/>
    <n v="2.3588752077987198"/>
    <n v="1.160121702027479E-8"/>
    <n v="3.25983778410891E-3"/>
    <n v="-2.5608266136812301E-4"/>
    <n v="-7.4921704241601335E-4"/>
    <n v="-2.5694005798568421E-3"/>
  </r>
  <r>
    <x v="1"/>
    <x v="1"/>
    <x v="0"/>
    <n v="-3.8717707830711052E-5"/>
    <n v="1.9518627735846911E-3"/>
    <n v="-1.9836285805894079E-2"/>
    <n v="0.98417397168488996"/>
    <m/>
    <n v="155"/>
    <n v="0.88762635435304749"/>
    <n v="0.86265443309816914"/>
    <n v="2.306293891047698"/>
    <n v="1.929559362254207E-2"/>
    <n v="2.6341923665963341E-3"/>
    <n v="-7.4453831442574682E-4"/>
    <n v="-7.871751459422117E-5"/>
    <n v="-2.0522457437184891E-4"/>
  </r>
  <r>
    <x v="1"/>
    <x v="1"/>
    <x v="1"/>
    <n v="-2.874797328272847E-3"/>
    <n v="1.5729132062442281E-3"/>
    <n v="-1.827689739561176"/>
    <n v="6.7596128899449826E-2"/>
    <s v="*"/>
    <n v="154"/>
    <n v="0.89128974146280993"/>
    <n v="0.86693864355047934"/>
    <n v="2.2837564368042198"/>
    <n v="9.7127976901929883E-2"/>
    <n v="4.0738529392679483E-3"/>
    <n v="-6.9108909759831028E-4"/>
    <n v="-4.3521624278696261E-5"/>
    <n v="1.047537844600982E-4"/>
  </r>
  <r>
    <x v="1"/>
    <x v="1"/>
    <x v="2"/>
    <n v="1.420495938222481E-3"/>
    <n v="1.452205711005743E-3"/>
    <n v="0.97816440705132535"/>
    <n v="0.32799301712412582"/>
    <m/>
    <n v="153"/>
    <n v="0.88980415312190408"/>
    <n v="0.86492121995588245"/>
    <n v="2.2998560565305901"/>
    <n v="2.2091748829304019E-2"/>
    <n v="2.5092493676185162E-3"/>
    <n v="-7.4084841979018558E-4"/>
    <n v="-1.2368921596829819E-4"/>
    <n v="-2.7561653356623358E-4"/>
  </r>
  <r>
    <x v="1"/>
    <x v="1"/>
    <x v="3"/>
    <n v="8.6755264398658796E-4"/>
    <n v="1.4067001329134199E-3"/>
    <n v="0.61672891306962307"/>
    <n v="0.53741354708054123"/>
    <m/>
    <n v="152"/>
    <n v="0.88926247908140876"/>
    <n v="0.86405393773408723"/>
    <n v="2.305115261056331"/>
    <n v="1.7526896119401981E-2"/>
    <n v="3.1884930206624918E-3"/>
    <n v="-7.7111989274143288E-4"/>
    <n v="-2.1162217865192929E-5"/>
    <n v="-1.68907095228918E-4"/>
  </r>
  <r>
    <x v="1"/>
    <x v="1"/>
    <x v="4"/>
    <n v="1.3523584913754791E-3"/>
    <n v="9.6660389941357868E-4"/>
    <n v="1.399082387517711"/>
    <n v="0.16178827858875811"/>
    <m/>
    <n v="149"/>
    <n v="0.89129568860533048"/>
    <n v="0.86593134927990756"/>
    <n v="2.26581288347161"/>
    <n v="2.511100078982597E-2"/>
    <n v="3.1314518163373479E-3"/>
    <n v="-7.8597552389988675E-4"/>
    <n v="1.1625146617167E-4"/>
    <n v="1.615989795244392E-4"/>
  </r>
  <r>
    <x v="1"/>
    <x v="2"/>
    <x v="0"/>
    <n v="-2.2194941558112721E-3"/>
    <n v="4.3262053907763718E-3"/>
    <n v="-0.51303485510496438"/>
    <n v="0.60792693943223375"/>
    <m/>
    <n v="120"/>
    <n v="0.78916977372497044"/>
    <n v="0.73309790503480299"/>
    <n v="2.353205201593719"/>
    <n v="1.6968157376404491E-4"/>
    <n v="6.7712405412691853E-4"/>
    <n v="9.5035484542201325E-5"/>
    <n v="-1.5908291378210701E-3"/>
    <n v="-6.012467037092812E-3"/>
  </r>
  <r>
    <x v="1"/>
    <x v="2"/>
    <x v="1"/>
    <n v="-9.56476793930593E-3"/>
    <n v="4.6219872048461116E-3"/>
    <n v="-2.069405975264786"/>
    <n v="3.8508006273548778E-2"/>
    <s v="**"/>
    <n v="120"/>
    <n v="0.79832611205481807"/>
    <n v="0.74468943972897184"/>
    <n v="2.361637493362553"/>
    <n v="1.156542727901446E-4"/>
    <n v="6.2172857727990586E-3"/>
    <n v="-3.3758885185423938E-4"/>
    <n v="-1.1726578810214131E-3"/>
    <n v="-3.7385871567852998E-3"/>
  </r>
  <r>
    <x v="1"/>
    <x v="2"/>
    <x v="2"/>
    <n v="2.0051328359099721E-3"/>
    <n v="5.2208623270910467E-3"/>
    <n v="0.38406161861525068"/>
    <n v="0.70093277789984709"/>
    <m/>
    <n v="120"/>
    <n v="0.78923845409297977"/>
    <n v="0.73318485145813395"/>
    <n v="2.33494571818833"/>
    <n v="1.9616199853452729E-4"/>
    <n v="2.0195709483018468E-3"/>
    <n v="1.109758957674612E-4"/>
    <n v="-1.5071087839107239E-3"/>
    <n v="-5.4541190110648534E-3"/>
  </r>
  <r>
    <x v="1"/>
    <x v="2"/>
    <x v="3"/>
    <n v="8.2796307742886641E-3"/>
    <n v="4.5813528185210941E-3"/>
    <n v="1.8072458294014151"/>
    <n v="7.0723958132107523E-2"/>
    <s v="*"/>
    <n v="120"/>
    <n v="0.79633986787771738"/>
    <n v="0.74217493912179111"/>
    <n v="2.3417076429315191"/>
    <n v="6.6909353430152311E-5"/>
    <n v="4.5729494371878126E-3"/>
    <n v="6.8340794628676078E-5"/>
    <n v="-1.615976094624807E-3"/>
    <n v="-5.4211622648190818E-3"/>
  </r>
  <r>
    <x v="1"/>
    <x v="2"/>
    <x v="4"/>
    <n v="1.2687473514553769E-3"/>
    <n v="2.7261037016410002E-3"/>
    <n v="0.4654068554661529"/>
    <n v="0.6416401257539176"/>
    <m/>
    <n v="120"/>
    <n v="0.78896283242312393"/>
    <n v="0.73283592615267823"/>
    <n v="2.336669107069584"/>
    <n v="2.185309353434284E-4"/>
    <n v="2.3026077846630649E-3"/>
    <n v="1.4605556391745E-4"/>
    <n v="-1.532008364562968E-3"/>
    <n v="-5.4831925275469042E-3"/>
  </r>
  <r>
    <x v="2"/>
    <x v="0"/>
    <x v="0"/>
    <n v="-1.12387887606208E-2"/>
    <n v="6.6060899162129804E-3"/>
    <n v="-1.7012769888338981"/>
    <n v="8.8890986872390471E-2"/>
    <s v="*"/>
    <n v="275"/>
    <n v="0.53824217921323592"/>
    <n v="0.4638913436628247"/>
    <n v="2.080158886793571"/>
    <n v="0.13532820481802821"/>
    <n v="-5.9838931143693938E-3"/>
    <n v="-1.178691190457789E-3"/>
    <n v="-1.1824668898718629E-3"/>
    <n v="-5.1248759529135494E-3"/>
  </r>
  <r>
    <x v="2"/>
    <x v="0"/>
    <x v="1"/>
    <n v="-2.775390818384885E-3"/>
    <n v="3.5525630400537241E-3"/>
    <n v="-0.7812361911930813"/>
    <n v="0.43466359147535022"/>
    <m/>
    <n v="274"/>
    <n v="0.52556777815111066"/>
    <n v="0.44885107844788602"/>
    <n v="2.0641879181963878"/>
    <n v="8.3468992230142397E-2"/>
    <n v="4.775475953043778E-3"/>
    <n v="-7.4278738673484702E-4"/>
    <n v="-9.6362846551542602E-4"/>
    <n v="-2.852518976163565E-3"/>
  </r>
  <r>
    <x v="2"/>
    <x v="0"/>
    <x v="2"/>
    <n v="1.3895316038202009E-3"/>
    <n v="3.7198737783209028E-3"/>
    <n v="0.3735426755386887"/>
    <n v="0.70874458952737129"/>
    <m/>
    <n v="273"/>
    <n v="0.52315585718562518"/>
    <n v="0.445719628865342"/>
    <n v="2.058276109301973"/>
    <n v="7.4326206296201652E-2"/>
    <n v="3.311819472777454E-3"/>
    <n v="-7.5016434577796203E-4"/>
    <n v="-1.0159560946648449E-3"/>
    <n v="-3.2555284066861129E-3"/>
  </r>
  <r>
    <x v="2"/>
    <x v="0"/>
    <x v="3"/>
    <n v="3.2367346945277198E-3"/>
    <n v="2.861544081380109E-3"/>
    <n v="1.131114741718974"/>
    <n v="0.25800680034811357"/>
    <m/>
    <n v="272"/>
    <n v="0.52458484435239483"/>
    <n v="0.44704932540557513"/>
    <n v="2.054141365915346"/>
    <n v="8.6730629156419908E-2"/>
    <n v="4.3280900390517234E-3"/>
    <n v="-8.5361274374873731E-4"/>
    <n v="-9.1289629521066978E-4"/>
    <n v="-3.073504466474284E-3"/>
  </r>
  <r>
    <x v="2"/>
    <x v="0"/>
    <x v="4"/>
    <n v="3.5944566698650829E-3"/>
    <n v="2.16842612852358E-3"/>
    <n v="1.6576339044173241"/>
    <n v="9.7391382022200143E-2"/>
    <s v="*"/>
    <n v="269"/>
    <n v="0.52549837265238541"/>
    <n v="0.44710245161234469"/>
    <n v="2.0599264787457972"/>
    <n v="9.1155041769872824E-2"/>
    <n v="3.5006320064433849E-3"/>
    <n v="-8.1724883392535869E-4"/>
    <n v="-8.3152054652029862E-4"/>
    <n v="-3.1721765005831878E-3"/>
  </r>
  <r>
    <x v="2"/>
    <x v="1"/>
    <x v="0"/>
    <n v="-1.200411394559419E-2"/>
    <n v="9.08245715662836E-3"/>
    <n v="-1.3216813180157541"/>
    <n v="0.18627429219040181"/>
    <m/>
    <n v="155"/>
    <n v="0.5058733819256569"/>
    <n v="0.39606746679802513"/>
    <n v="2.1468055617687112"/>
    <n v="0.40132527491047931"/>
    <n v="-1.015908213133046E-2"/>
    <n v="-1.828628153851423E-3"/>
    <n v="-9.8380309543234855E-4"/>
    <n v="-3.7401776210099161E-3"/>
  </r>
  <r>
    <x v="2"/>
    <x v="1"/>
    <x v="1"/>
    <n v="-3.0792768261291049E-3"/>
    <n v="4.7776361973107008E-3"/>
    <n v="-0.64451889992427813"/>
    <n v="0.51923900585780269"/>
    <m/>
    <n v="154"/>
    <n v="0.48543787468117822"/>
    <n v="0.37017595860976199"/>
    <n v="2.1657941091916961"/>
    <n v="0.41601423105805652"/>
    <n v="2.4130719817952572E-3"/>
    <n v="-1.3962819023785669E-3"/>
    <n v="-5.2388136416502205E-4"/>
    <n v="-2.1987444680241848E-3"/>
  </r>
  <r>
    <x v="2"/>
    <x v="1"/>
    <x v="2"/>
    <n v="6.4979932461929288E-4"/>
    <n v="4.5348392523029768E-3"/>
    <n v="0.14329048693165869"/>
    <n v="0.88606076863339633"/>
    <m/>
    <n v="153"/>
    <n v="0.47862111003664859"/>
    <n v="0.36089039294815001"/>
    <n v="2.1463241669026858"/>
    <n v="0.38787855769607749"/>
    <n v="8.978057305654237E-4"/>
    <n v="-1.435994128252725E-3"/>
    <n v="-5.8366008487861104E-4"/>
    <n v="-2.553387598681468E-3"/>
  </r>
  <r>
    <x v="2"/>
    <x v="1"/>
    <x v="3"/>
    <n v="4.2120358561206712E-4"/>
    <n v="3.1062643493116001E-3"/>
    <n v="0.13559811343983419"/>
    <n v="0.89213899693513787"/>
    <m/>
    <n v="152"/>
    <n v="0.47855876673752967"/>
    <n v="0.35985669737696752"/>
    <n v="2.1461859016706168"/>
    <n v="0.39115965269788588"/>
    <n v="1.1934796391654279E-3"/>
    <n v="-1.4418098284898419E-3"/>
    <n v="-5.3650362168263747E-4"/>
    <n v="-2.498773494919772E-3"/>
  </r>
  <r>
    <x v="2"/>
    <x v="1"/>
    <x v="4"/>
    <n v="2.1714569432166111E-3"/>
    <n v="2.4460092559120041E-3"/>
    <n v="0.88775499846053318"/>
    <n v="0.37467255451326081"/>
    <m/>
    <n v="149"/>
    <n v="0.48043166203869248"/>
    <n v="0.35919904984772072"/>
    <n v="2.139623060128963"/>
    <n v="0.40858182388902259"/>
    <n v="1.043616010768031E-3"/>
    <n v="-1.4978903959639201E-3"/>
    <n v="-3.5546387687234902E-4"/>
    <n v="-2.2756574100849421E-3"/>
  </r>
  <r>
    <x v="2"/>
    <x v="2"/>
    <x v="0"/>
    <n v="-1.3566526552731009E-2"/>
    <n v="1.1018618412096341E-2"/>
    <n v="-1.2312366256224601"/>
    <n v="0.21823437674367799"/>
    <m/>
    <n v="120"/>
    <n v="0.62177011913293156"/>
    <n v="0.52117706571083888"/>
    <n v="1.994441350908349"/>
    <n v="0.58708151834273914"/>
    <n v="-1.5094842219239791E-4"/>
    <n v="-7.2546425230091539E-4"/>
    <n v="-1.332812370994223E-3"/>
    <n v="-7.669721159625548E-3"/>
  </r>
  <r>
    <x v="2"/>
    <x v="2"/>
    <x v="1"/>
    <n v="-2.9265393025834458E-3"/>
    <n v="6.1376228243691039E-3"/>
    <n v="-0.47681967209907028"/>
    <n v="0.63349053622849405"/>
    <m/>
    <n v="120"/>
    <n v="0.6112742891014753"/>
    <n v="0.50788979152208036"/>
    <n v="1.9509730426074761"/>
    <n v="0.47064576130050911"/>
    <n v="1.057224394227581E-2"/>
    <n v="-6.0108912778263058E-4"/>
    <n v="-9.9601149189750384E-4"/>
    <n v="-3.8725821140947261E-3"/>
  </r>
  <r>
    <x v="2"/>
    <x v="2"/>
    <x v="2"/>
    <n v="3.1510754083262198E-4"/>
    <n v="3.7468292410462942E-3"/>
    <n v="8.4099786929342113E-2"/>
    <n v="0.93297709405115303"/>
    <m/>
    <n v="120"/>
    <n v="0.61061144598748218"/>
    <n v="0.50705066034585511"/>
    <n v="1.9429280646142451"/>
    <n v="0.42726087191106671"/>
    <n v="9.2790923385342224E-3"/>
    <n v="-4.5986472745082E-4"/>
    <n v="-1.107382003412436E-3"/>
    <n v="-4.4276370973783596E-3"/>
  </r>
  <r>
    <x v="2"/>
    <x v="2"/>
    <x v="3"/>
    <n v="1.2628653857211781E-2"/>
    <n v="7.8030808769868421E-3"/>
    <n v="1.618418936865913"/>
    <n v="0.1055723436627547"/>
    <m/>
    <n v="120"/>
    <n v="0.62379819302252448"/>
    <n v="0.523744520954047"/>
    <n v="1.8961344839438281"/>
    <n v="0.42995086500959301"/>
    <n v="1.307379299735573E-2"/>
    <n v="-5.6709721880609403E-4"/>
    <n v="-1.208043547658302E-3"/>
    <n v="-4.3628482444586607E-3"/>
  </r>
  <r>
    <x v="2"/>
    <x v="2"/>
    <x v="4"/>
    <n v="8.9495695343553613E-3"/>
    <n v="3.9424608632861614E-3"/>
    <n v="2.2700465127498108"/>
    <n v="2.320476108199818E-2"/>
    <s v="**"/>
    <n v="120"/>
    <n v="0.61777184489922221"/>
    <n v="0.51611542067029192"/>
    <n v="1.946147348869075"/>
    <n v="0.47214960301473102"/>
    <n v="1.011347525312598E-2"/>
    <n v="-3.6348061960259819E-4"/>
    <n v="-9.5596195154366295E-4"/>
    <n v="-4.2663044510967123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8847F-2E06-47C3-8E27-5FA9F7491E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1" firstDataRow="2" firstDataCol="1" rowPageCount="1" colPageCount="1"/>
  <pivotFields count="17"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item="1" hier="-1"/>
  </pageFields>
  <dataFields count="1">
    <dataField name="Average of N" fld="8" subtotal="average" baseField="1" baseItem="0" numFmtId="2"/>
  </dataFields>
  <formats count="1">
    <format dxfId="2">
      <pivotArea collapsedLevelsAreSubtotals="1" fieldPosition="0">
        <references count="2">
          <reference field="1" count="0"/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F9DF-E3B4-4C4D-91FE-13509BE8BFAC}">
  <dimension ref="A1:G8"/>
  <sheetViews>
    <sheetView tabSelected="1" workbookViewId="0">
      <selection activeCell="C16" sqref="C16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6" width="6.36328125" bestFit="1" customWidth="1"/>
    <col min="7" max="7" width="10.7265625" bestFit="1" customWidth="1"/>
  </cols>
  <sheetData>
    <row r="1" spans="1:7" x14ac:dyDescent="0.35">
      <c r="A1" s="1" t="s">
        <v>0</v>
      </c>
      <c r="B1" t="s">
        <v>22</v>
      </c>
    </row>
    <row r="3" spans="1:7" x14ac:dyDescent="0.35">
      <c r="A3" s="1" t="s">
        <v>100</v>
      </c>
      <c r="B3" s="1" t="s">
        <v>99</v>
      </c>
    </row>
    <row r="4" spans="1:7" x14ac:dyDescent="0.35">
      <c r="A4" s="1" t="s">
        <v>97</v>
      </c>
      <c r="B4">
        <v>0</v>
      </c>
      <c r="C4">
        <v>1</v>
      </c>
      <c r="D4">
        <v>2</v>
      </c>
      <c r="E4">
        <v>3</v>
      </c>
      <c r="F4">
        <v>6</v>
      </c>
      <c r="G4" t="s">
        <v>98</v>
      </c>
    </row>
    <row r="5" spans="1:7" x14ac:dyDescent="0.35">
      <c r="A5" s="2" t="s">
        <v>20</v>
      </c>
      <c r="B5" s="4">
        <v>155</v>
      </c>
      <c r="C5" s="4">
        <v>154</v>
      </c>
      <c r="D5" s="4">
        <v>153</v>
      </c>
      <c r="E5" s="4">
        <v>152</v>
      </c>
      <c r="F5" s="4">
        <v>149</v>
      </c>
      <c r="G5" s="3">
        <v>152.6</v>
      </c>
    </row>
    <row r="6" spans="1:7" x14ac:dyDescent="0.35">
      <c r="A6" s="2" t="s">
        <v>18</v>
      </c>
      <c r="B6" s="4">
        <v>275</v>
      </c>
      <c r="C6" s="4">
        <v>274</v>
      </c>
      <c r="D6" s="4">
        <v>273</v>
      </c>
      <c r="E6" s="4">
        <v>272</v>
      </c>
      <c r="F6" s="4">
        <v>269</v>
      </c>
      <c r="G6" s="3">
        <v>272.60000000000002</v>
      </c>
    </row>
    <row r="7" spans="1:7" x14ac:dyDescent="0.35">
      <c r="A7" s="2" t="s">
        <v>21</v>
      </c>
      <c r="B7" s="4">
        <v>120</v>
      </c>
      <c r="C7" s="4">
        <v>120</v>
      </c>
      <c r="D7" s="4">
        <v>120</v>
      </c>
      <c r="E7" s="4">
        <v>120</v>
      </c>
      <c r="F7" s="4">
        <v>120</v>
      </c>
      <c r="G7" s="3">
        <v>120</v>
      </c>
    </row>
    <row r="8" spans="1:7" x14ac:dyDescent="0.35">
      <c r="A8" s="2" t="s">
        <v>98</v>
      </c>
      <c r="B8" s="3">
        <v>183.33333333333334</v>
      </c>
      <c r="C8" s="3">
        <v>182.66666666666666</v>
      </c>
      <c r="D8" s="3">
        <v>182</v>
      </c>
      <c r="E8" s="3">
        <v>181.33333333333334</v>
      </c>
      <c r="F8" s="3">
        <v>179.33333333333334</v>
      </c>
      <c r="G8" s="3">
        <v>181.73333333333332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workbookViewId="0">
      <selection activeCell="O6" sqref="O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0</v>
      </c>
      <c r="D2">
        <v>-3.7051344802334768E-3</v>
      </c>
      <c r="E2">
        <v>2.7023106445258072E-3</v>
      </c>
      <c r="F2">
        <v>-1.371098651348295</v>
      </c>
      <c r="G2">
        <v>0.17034420534672881</v>
      </c>
      <c r="I2">
        <v>275</v>
      </c>
      <c r="J2">
        <v>0.72825572306047648</v>
      </c>
      <c r="K2">
        <v>0.68450028863801082</v>
      </c>
      <c r="L2">
        <v>2.1412311953471361</v>
      </c>
      <c r="M2">
        <v>8.3049872452354984E-3</v>
      </c>
      <c r="N2">
        <v>2.1097460264062609E-3</v>
      </c>
      <c r="O2">
        <v>-1.324427063742665E-3</v>
      </c>
      <c r="P2">
        <v>-5.1914429525786344E-4</v>
      </c>
      <c r="Q2">
        <v>-1.3206720884627961E-3</v>
      </c>
    </row>
    <row r="3" spans="1:17" x14ac:dyDescent="0.35">
      <c r="A3" t="s">
        <v>17</v>
      </c>
      <c r="B3" t="s">
        <v>18</v>
      </c>
      <c r="C3">
        <v>1</v>
      </c>
      <c r="D3">
        <v>-2.4045914327657939E-3</v>
      </c>
      <c r="E3">
        <v>1.5390980784606659E-3</v>
      </c>
      <c r="F3">
        <v>-1.562338012383691</v>
      </c>
      <c r="G3">
        <v>0.1182083816077406</v>
      </c>
      <c r="I3">
        <v>274</v>
      </c>
      <c r="J3">
        <v>0.72653520131543159</v>
      </c>
      <c r="K3">
        <v>0.68231536152813965</v>
      </c>
      <c r="L3">
        <v>2.1300576475754771</v>
      </c>
      <c r="M3">
        <v>8.0015627674175759E-3</v>
      </c>
      <c r="N3">
        <v>6.6211253990367718E-3</v>
      </c>
      <c r="O3">
        <v>-1.176904490739092E-3</v>
      </c>
      <c r="P3">
        <v>-4.196144840379824E-4</v>
      </c>
      <c r="Q3">
        <v>-2.9349505754215508E-4</v>
      </c>
    </row>
    <row r="4" spans="1:17" x14ac:dyDescent="0.35">
      <c r="A4" t="s">
        <v>17</v>
      </c>
      <c r="B4" t="s">
        <v>18</v>
      </c>
      <c r="C4">
        <v>2</v>
      </c>
      <c r="D4">
        <v>6.4664119976826787E-6</v>
      </c>
      <c r="E4">
        <v>1.68164322317619E-3</v>
      </c>
      <c r="F4">
        <v>3.8452936440758791E-3</v>
      </c>
      <c r="G4">
        <v>0.99693190713058866</v>
      </c>
      <c r="I4">
        <v>273</v>
      </c>
      <c r="J4">
        <v>0.72304183795601085</v>
      </c>
      <c r="K4">
        <v>0.67806572617108951</v>
      </c>
      <c r="L4">
        <v>2.118990073220735</v>
      </c>
      <c r="M4">
        <v>4.2045214554588756E-3</v>
      </c>
      <c r="N4">
        <v>5.4968317982882261E-3</v>
      </c>
      <c r="O4">
        <v>-1.2002597673467219E-3</v>
      </c>
      <c r="P4">
        <v>-4.4526972029784029E-4</v>
      </c>
      <c r="Q4">
        <v>-6.4766564536210183E-4</v>
      </c>
    </row>
    <row r="5" spans="1:17" x14ac:dyDescent="0.35">
      <c r="A5" t="s">
        <v>17</v>
      </c>
      <c r="B5" t="s">
        <v>18</v>
      </c>
      <c r="C5">
        <v>3</v>
      </c>
      <c r="D5">
        <v>2.7753005726741629E-3</v>
      </c>
      <c r="E5">
        <v>1.597863625145719E-3</v>
      </c>
      <c r="F5">
        <v>1.7368820023179801</v>
      </c>
      <c r="G5">
        <v>8.2408000814770441E-2</v>
      </c>
      <c r="H5" t="s">
        <v>19</v>
      </c>
      <c r="I5">
        <v>272</v>
      </c>
      <c r="J5">
        <v>0.72621268705506192</v>
      </c>
      <c r="K5">
        <v>0.6815606789352866</v>
      </c>
      <c r="L5">
        <v>2.1106047004380382</v>
      </c>
      <c r="M5">
        <v>7.0974855500323727E-3</v>
      </c>
      <c r="N5">
        <v>6.1347934725655626E-3</v>
      </c>
      <c r="O5">
        <v>-1.251939845548245E-3</v>
      </c>
      <c r="P5">
        <v>-3.8525510759924119E-4</v>
      </c>
      <c r="Q5">
        <v>-4.9859451893068411E-4</v>
      </c>
    </row>
    <row r="6" spans="1:17" x14ac:dyDescent="0.35">
      <c r="A6" t="s">
        <v>17</v>
      </c>
      <c r="B6" t="s">
        <v>18</v>
      </c>
      <c r="C6">
        <v>6</v>
      </c>
      <c r="D6">
        <v>2.2051372710783861E-3</v>
      </c>
      <c r="E6">
        <v>1.2529797823707381E-3</v>
      </c>
      <c r="F6">
        <v>1.7599144871324981</v>
      </c>
      <c r="G6">
        <v>7.8422306605570424E-2</v>
      </c>
      <c r="H6" t="s">
        <v>19</v>
      </c>
      <c r="I6">
        <v>269</v>
      </c>
      <c r="J6">
        <v>0.72573578124285021</v>
      </c>
      <c r="K6">
        <v>0.68042256249166888</v>
      </c>
      <c r="L6">
        <v>2.1240453255693872</v>
      </c>
      <c r="M6">
        <v>7.1959230998767934E-3</v>
      </c>
      <c r="N6">
        <v>5.4264549556850648E-3</v>
      </c>
      <c r="O6">
        <v>-1.207120415762316E-3</v>
      </c>
      <c r="P6">
        <v>-3.4334018371667341E-4</v>
      </c>
      <c r="Q6">
        <v>-5.7642968411187386E-4</v>
      </c>
    </row>
    <row r="7" spans="1:17" x14ac:dyDescent="0.35">
      <c r="A7" t="s">
        <v>17</v>
      </c>
      <c r="B7" t="s">
        <v>20</v>
      </c>
      <c r="C7">
        <v>0</v>
      </c>
      <c r="D7">
        <v>-1.37363016365472E-3</v>
      </c>
      <c r="E7">
        <v>2.787418139250185E-3</v>
      </c>
      <c r="F7">
        <v>-0.49279659348999799</v>
      </c>
      <c r="G7">
        <v>0.62215631794885817</v>
      </c>
      <c r="I7">
        <v>155</v>
      </c>
      <c r="J7">
        <v>0.795930589526336</v>
      </c>
      <c r="K7">
        <v>0.7505818316432995</v>
      </c>
      <c r="L7">
        <v>2.3536225695138362</v>
      </c>
      <c r="M7">
        <v>9.3890256615778281E-2</v>
      </c>
      <c r="N7">
        <v>1.404570236730277E-3</v>
      </c>
      <c r="O7">
        <v>-1.0862676439240271E-3</v>
      </c>
      <c r="P7">
        <v>-1.332486130239252E-4</v>
      </c>
      <c r="Q7">
        <v>4.002058572203296E-4</v>
      </c>
    </row>
    <row r="8" spans="1:17" x14ac:dyDescent="0.35">
      <c r="A8" t="s">
        <v>17</v>
      </c>
      <c r="B8" t="s">
        <v>20</v>
      </c>
      <c r="C8">
        <v>1</v>
      </c>
      <c r="D8">
        <v>-2.129222466361512E-3</v>
      </c>
      <c r="E8">
        <v>1.5848751033441359E-3</v>
      </c>
      <c r="F8">
        <v>-1.3434638867559889</v>
      </c>
      <c r="G8">
        <v>0.17912181208928349</v>
      </c>
      <c r="I8">
        <v>154</v>
      </c>
      <c r="J8">
        <v>0.79733732475739272</v>
      </c>
      <c r="K8">
        <v>0.75194088550304872</v>
      </c>
      <c r="L8">
        <v>2.3755335446816179</v>
      </c>
      <c r="M8">
        <v>0.1213357797446188</v>
      </c>
      <c r="N8">
        <v>3.652790501947467E-3</v>
      </c>
      <c r="O8">
        <v>-1.0502477416902121E-3</v>
      </c>
      <c r="P8">
        <v>-5.3047082447228483E-5</v>
      </c>
      <c r="Q8">
        <v>7.4746746121077273E-4</v>
      </c>
    </row>
    <row r="9" spans="1:17" x14ac:dyDescent="0.35">
      <c r="A9" t="s">
        <v>17</v>
      </c>
      <c r="B9" t="s">
        <v>20</v>
      </c>
      <c r="C9">
        <v>2</v>
      </c>
      <c r="D9">
        <v>4.0791309945749458E-4</v>
      </c>
      <c r="E9">
        <v>1.7874242643024819E-3</v>
      </c>
      <c r="F9">
        <v>0.22821280185355269</v>
      </c>
      <c r="G9">
        <v>0.81948080957838088</v>
      </c>
      <c r="I9">
        <v>153</v>
      </c>
      <c r="J9">
        <v>0.79138430505103274</v>
      </c>
      <c r="K9">
        <v>0.74427753522384665</v>
      </c>
      <c r="L9">
        <v>2.3597903175775352</v>
      </c>
      <c r="M9">
        <v>0.10413643458432111</v>
      </c>
      <c r="N9">
        <v>2.581626703199703E-3</v>
      </c>
      <c r="O9">
        <v>-1.074388603998515E-3</v>
      </c>
      <c r="P9">
        <v>-9.5700028772088385E-5</v>
      </c>
      <c r="Q9">
        <v>5.0397959717954691E-4</v>
      </c>
    </row>
    <row r="10" spans="1:17" x14ac:dyDescent="0.35">
      <c r="A10" t="s">
        <v>17</v>
      </c>
      <c r="B10" t="s">
        <v>20</v>
      </c>
      <c r="C10">
        <v>3</v>
      </c>
      <c r="D10">
        <v>1.0078553020287831E-3</v>
      </c>
      <c r="E10">
        <v>1.5141622935423431E-3</v>
      </c>
      <c r="F10">
        <v>0.66561907288744571</v>
      </c>
      <c r="G10">
        <v>0.50565461223190855</v>
      </c>
      <c r="I10">
        <v>152</v>
      </c>
      <c r="J10">
        <v>0.79163292549850151</v>
      </c>
      <c r="K10">
        <v>0.74419977032742868</v>
      </c>
      <c r="L10">
        <v>2.350238419451613</v>
      </c>
      <c r="M10">
        <v>0.109731923968134</v>
      </c>
      <c r="N10">
        <v>3.0044778370415422E-3</v>
      </c>
      <c r="O10">
        <v>-1.096991096962066E-3</v>
      </c>
      <c r="P10">
        <v>-2.470537012545177E-5</v>
      </c>
      <c r="Q10">
        <v>5.8363090630507105E-4</v>
      </c>
    </row>
    <row r="11" spans="1:17" x14ac:dyDescent="0.35">
      <c r="A11" t="s">
        <v>17</v>
      </c>
      <c r="B11" t="s">
        <v>20</v>
      </c>
      <c r="C11">
        <v>6</v>
      </c>
      <c r="D11">
        <v>1.511724943570793E-3</v>
      </c>
      <c r="E11">
        <v>1.0994839479151891E-3</v>
      </c>
      <c r="F11">
        <v>1.3749404404105059</v>
      </c>
      <c r="G11">
        <v>0.16914991039256319</v>
      </c>
      <c r="I11">
        <v>149</v>
      </c>
      <c r="J11">
        <v>0.79432135377228208</v>
      </c>
      <c r="K11">
        <v>0.74632966965248126</v>
      </c>
      <c r="L11">
        <v>2.3339000106205621</v>
      </c>
      <c r="M11">
        <v>0.14458130866929531</v>
      </c>
      <c r="N11">
        <v>2.8013303042007161E-3</v>
      </c>
      <c r="O11">
        <v>-1.126813547392784E-3</v>
      </c>
      <c r="P11">
        <v>1.023488964663941E-4</v>
      </c>
      <c r="Q11">
        <v>8.0673079337287409E-4</v>
      </c>
    </row>
    <row r="12" spans="1:17" x14ac:dyDescent="0.35">
      <c r="A12" t="s">
        <v>17</v>
      </c>
      <c r="B12" t="s">
        <v>21</v>
      </c>
      <c r="C12">
        <v>0</v>
      </c>
      <c r="D12">
        <v>-6.3616013195691538E-3</v>
      </c>
      <c r="E12">
        <v>5.5148850453785583E-3</v>
      </c>
      <c r="F12">
        <v>-1.1535328963747189</v>
      </c>
      <c r="G12">
        <v>0.24869172321724581</v>
      </c>
      <c r="I12">
        <v>120</v>
      </c>
      <c r="J12">
        <v>0.74475257133554817</v>
      </c>
      <c r="K12">
        <v>0.67686761690351305</v>
      </c>
      <c r="L12">
        <v>2.0658868949819649</v>
      </c>
      <c r="M12">
        <v>9.0408293543568718E-2</v>
      </c>
      <c r="N12">
        <v>2.8119956706040799E-3</v>
      </c>
      <c r="O12">
        <v>-1.6777006327895179E-3</v>
      </c>
      <c r="P12">
        <v>-8.0250878299815162E-4</v>
      </c>
      <c r="Q12">
        <v>-3.4769868937243441E-3</v>
      </c>
    </row>
    <row r="13" spans="1:17" x14ac:dyDescent="0.35">
      <c r="A13" t="s">
        <v>17</v>
      </c>
      <c r="B13" t="s">
        <v>21</v>
      </c>
      <c r="C13">
        <v>1</v>
      </c>
      <c r="D13">
        <v>-2.5775682041656511E-3</v>
      </c>
      <c r="E13">
        <v>2.8791998286770691E-3</v>
      </c>
      <c r="F13">
        <v>-0.89523769017101806</v>
      </c>
      <c r="G13">
        <v>0.37066004088787119</v>
      </c>
      <c r="I13">
        <v>120</v>
      </c>
      <c r="J13">
        <v>0.73967610426670016</v>
      </c>
      <c r="K13">
        <v>0.6704410256142268</v>
      </c>
      <c r="L13">
        <v>2.052889426632226</v>
      </c>
      <c r="M13">
        <v>9.9821483616936851E-2</v>
      </c>
      <c r="N13">
        <v>8.9740315628998799E-3</v>
      </c>
      <c r="O13">
        <v>-1.6932292295292709E-3</v>
      </c>
      <c r="P13">
        <v>-5.6698334407625291E-4</v>
      </c>
      <c r="Q13">
        <v>-1.2901721653102161E-3</v>
      </c>
    </row>
    <row r="14" spans="1:17" x14ac:dyDescent="0.35">
      <c r="A14" t="s">
        <v>17</v>
      </c>
      <c r="B14" t="s">
        <v>21</v>
      </c>
      <c r="C14">
        <v>2</v>
      </c>
      <c r="D14">
        <v>-1.426082390666165E-3</v>
      </c>
      <c r="E14">
        <v>3.3295259644214978E-3</v>
      </c>
      <c r="F14">
        <v>-0.42831394195598199</v>
      </c>
      <c r="G14">
        <v>0.66842256980388282</v>
      </c>
      <c r="I14">
        <v>120</v>
      </c>
      <c r="J14">
        <v>0.73877805970170352</v>
      </c>
      <c r="K14">
        <v>0.66930413940960332</v>
      </c>
      <c r="L14">
        <v>2.018837371238456</v>
      </c>
      <c r="M14">
        <v>7.267563901825759E-2</v>
      </c>
      <c r="N14">
        <v>7.8926651582916646E-3</v>
      </c>
      <c r="O14">
        <v>-1.529181473151731E-3</v>
      </c>
      <c r="P14">
        <v>-7.1951539426931565E-4</v>
      </c>
      <c r="Q14">
        <v>-1.8570131819280111E-3</v>
      </c>
    </row>
    <row r="15" spans="1:17" x14ac:dyDescent="0.35">
      <c r="A15" t="s">
        <v>17</v>
      </c>
      <c r="B15" t="s">
        <v>21</v>
      </c>
      <c r="C15">
        <v>3</v>
      </c>
      <c r="D15">
        <v>6.6668129033886324E-3</v>
      </c>
      <c r="E15">
        <v>4.033413932040153E-3</v>
      </c>
      <c r="F15">
        <v>1.6528957889567439</v>
      </c>
      <c r="G15">
        <v>9.8352074323746028E-2</v>
      </c>
      <c r="H15" t="s">
        <v>19</v>
      </c>
      <c r="I15">
        <v>120</v>
      </c>
      <c r="J15">
        <v>0.74791959056940616</v>
      </c>
      <c r="K15">
        <v>0.68087692848680148</v>
      </c>
      <c r="L15">
        <v>1.993028825775879</v>
      </c>
      <c r="M15">
        <v>8.5252809986739092E-2</v>
      </c>
      <c r="N15">
        <v>9.93304543752427E-3</v>
      </c>
      <c r="O15">
        <v>-1.60101771240642E-3</v>
      </c>
      <c r="P15">
        <v>-7.3811944971355846E-4</v>
      </c>
      <c r="Q15">
        <v>-1.7207398139091369E-3</v>
      </c>
    </row>
    <row r="16" spans="1:17" x14ac:dyDescent="0.35">
      <c r="A16" t="s">
        <v>17</v>
      </c>
      <c r="B16" t="s">
        <v>21</v>
      </c>
      <c r="C16">
        <v>6</v>
      </c>
      <c r="D16">
        <v>3.3510706282160762E-3</v>
      </c>
      <c r="E16">
        <v>2.3627825402634979E-3</v>
      </c>
      <c r="F16">
        <v>1.418272977352526</v>
      </c>
      <c r="G16">
        <v>0.1561110829135334</v>
      </c>
      <c r="I16">
        <v>120</v>
      </c>
      <c r="J16">
        <v>0.7409347295791695</v>
      </c>
      <c r="K16">
        <v>0.67203439170128898</v>
      </c>
      <c r="L16">
        <v>2.0379740648193052</v>
      </c>
      <c r="M16">
        <v>8.7561861315663111E-2</v>
      </c>
      <c r="N16">
        <v>8.0761344020036877E-3</v>
      </c>
      <c r="O16">
        <v>-1.5094689868761411E-3</v>
      </c>
      <c r="P16">
        <v>-6.19119539276696E-4</v>
      </c>
      <c r="Q16">
        <v>-1.754070562120088E-3</v>
      </c>
    </row>
    <row r="17" spans="1:17" x14ac:dyDescent="0.35">
      <c r="A17" t="s">
        <v>22</v>
      </c>
      <c r="B17" t="s">
        <v>18</v>
      </c>
      <c r="C17">
        <v>0</v>
      </c>
      <c r="D17">
        <v>-1.3719612768939419E-3</v>
      </c>
      <c r="E17">
        <v>2.2822542185151218E-3</v>
      </c>
      <c r="F17">
        <v>-0.60114305661643863</v>
      </c>
      <c r="G17">
        <v>0.54774470766249694</v>
      </c>
      <c r="I17">
        <v>275</v>
      </c>
      <c r="J17">
        <v>0.78699461080079347</v>
      </c>
      <c r="K17">
        <v>0.7526971328788874</v>
      </c>
      <c r="L17">
        <v>2.3669483489083851</v>
      </c>
      <c r="M17">
        <v>7.970606747757914E-9</v>
      </c>
      <c r="N17">
        <v>1.8799838385166669E-3</v>
      </c>
      <c r="O17">
        <v>-2.979106525618666E-4</v>
      </c>
      <c r="P17">
        <v>-8.2635642316869365E-4</v>
      </c>
      <c r="Q17">
        <v>-2.921253271586449E-3</v>
      </c>
    </row>
    <row r="18" spans="1:17" x14ac:dyDescent="0.35">
      <c r="A18" t="s">
        <v>22</v>
      </c>
      <c r="B18" t="s">
        <v>18</v>
      </c>
      <c r="C18">
        <v>1</v>
      </c>
      <c r="D18">
        <v>-4.7279398439719136E-3</v>
      </c>
      <c r="E18">
        <v>1.875467081437178E-3</v>
      </c>
      <c r="F18">
        <v>-2.5209399251885949</v>
      </c>
      <c r="G18">
        <v>1.1704183223578159E-2</v>
      </c>
      <c r="H18" t="s">
        <v>23</v>
      </c>
      <c r="I18">
        <v>274</v>
      </c>
      <c r="J18">
        <v>0.79270892705284013</v>
      </c>
      <c r="K18">
        <v>0.75918951951244829</v>
      </c>
      <c r="L18">
        <v>2.340402288631271</v>
      </c>
      <c r="M18">
        <v>4.7263387904020482E-8</v>
      </c>
      <c r="N18">
        <v>5.2575887378056756E-3</v>
      </c>
      <c r="O18">
        <v>-2.1066622065043779E-4</v>
      </c>
      <c r="P18">
        <v>-7.4397588442329514E-4</v>
      </c>
      <c r="Q18">
        <v>-2.0231635370733109E-3</v>
      </c>
    </row>
    <row r="19" spans="1:17" x14ac:dyDescent="0.35">
      <c r="A19" t="s">
        <v>22</v>
      </c>
      <c r="B19" t="s">
        <v>18</v>
      </c>
      <c r="C19">
        <v>2</v>
      </c>
      <c r="D19">
        <v>2.1883182302320108E-3</v>
      </c>
      <c r="E19">
        <v>2.1748516394423881E-3</v>
      </c>
      <c r="F19">
        <v>1.0061919583595491</v>
      </c>
      <c r="G19">
        <v>0.31432323974466381</v>
      </c>
      <c r="I19">
        <v>273</v>
      </c>
      <c r="J19">
        <v>0.79049481384043552</v>
      </c>
      <c r="K19">
        <v>0.75647260412221562</v>
      </c>
      <c r="L19">
        <v>2.3567504781159561</v>
      </c>
      <c r="M19">
        <v>9.5950627562140308E-9</v>
      </c>
      <c r="N19">
        <v>2.8727681234189638E-3</v>
      </c>
      <c r="O19">
        <v>-2.3295856956615261E-4</v>
      </c>
      <c r="P19">
        <v>-8.2269506866534188E-4</v>
      </c>
      <c r="Q19">
        <v>-2.6938179936131872E-3</v>
      </c>
    </row>
    <row r="20" spans="1:17" x14ac:dyDescent="0.35">
      <c r="A20" t="s">
        <v>22</v>
      </c>
      <c r="B20" t="s">
        <v>18</v>
      </c>
      <c r="C20">
        <v>3</v>
      </c>
      <c r="D20">
        <v>2.7083167567238599E-3</v>
      </c>
      <c r="E20">
        <v>1.805651451023534E-3</v>
      </c>
      <c r="F20">
        <v>1.499911156823013</v>
      </c>
      <c r="G20">
        <v>0.1336374175805484</v>
      </c>
      <c r="I20">
        <v>272</v>
      </c>
      <c r="J20">
        <v>0.79119031353130986</v>
      </c>
      <c r="K20">
        <v>0.75713551487976383</v>
      </c>
      <c r="L20">
        <v>2.3687230061800899</v>
      </c>
      <c r="M20">
        <v>5.6381433917110141E-9</v>
      </c>
      <c r="N20">
        <v>3.8049363731975459E-3</v>
      </c>
      <c r="O20">
        <v>-3.1960178327274081E-4</v>
      </c>
      <c r="P20">
        <v>-7.2819212318031123E-4</v>
      </c>
      <c r="Q20">
        <v>-2.5391206651337339E-3</v>
      </c>
    </row>
    <row r="21" spans="1:17" x14ac:dyDescent="0.35">
      <c r="A21" t="s">
        <v>22</v>
      </c>
      <c r="B21" t="s">
        <v>18</v>
      </c>
      <c r="C21">
        <v>6</v>
      </c>
      <c r="D21">
        <v>6.3264759663407305E-4</v>
      </c>
      <c r="E21">
        <v>1.2467354589983271E-3</v>
      </c>
      <c r="F21">
        <v>0.50744333296043853</v>
      </c>
      <c r="G21">
        <v>0.61184378749648016</v>
      </c>
      <c r="I21">
        <v>269</v>
      </c>
      <c r="J21">
        <v>0.78975851947793241</v>
      </c>
      <c r="K21">
        <v>0.75502297052211254</v>
      </c>
      <c r="L21">
        <v>2.3588752077987198</v>
      </c>
      <c r="M21">
        <v>1.160121702027479E-8</v>
      </c>
      <c r="N21">
        <v>3.25983778410891E-3</v>
      </c>
      <c r="O21">
        <v>-2.5608266136812301E-4</v>
      </c>
      <c r="P21">
        <v>-7.4921704241601335E-4</v>
      </c>
      <c r="Q21">
        <v>-2.5694005798568421E-3</v>
      </c>
    </row>
    <row r="22" spans="1:17" x14ac:dyDescent="0.35">
      <c r="A22" t="s">
        <v>22</v>
      </c>
      <c r="B22" t="s">
        <v>20</v>
      </c>
      <c r="C22">
        <v>0</v>
      </c>
      <c r="D22">
        <v>-3.8717707830711052E-5</v>
      </c>
      <c r="E22">
        <v>1.9518627735846911E-3</v>
      </c>
      <c r="F22">
        <v>-1.9836285805894079E-2</v>
      </c>
      <c r="G22">
        <v>0.98417397168488996</v>
      </c>
      <c r="I22">
        <v>155</v>
      </c>
      <c r="J22">
        <v>0.88762635435304749</v>
      </c>
      <c r="K22">
        <v>0.86265443309816914</v>
      </c>
      <c r="L22">
        <v>2.306293891047698</v>
      </c>
      <c r="M22">
        <v>1.929559362254207E-2</v>
      </c>
      <c r="N22">
        <v>2.6341923665963341E-3</v>
      </c>
      <c r="O22">
        <v>-7.4453831442574682E-4</v>
      </c>
      <c r="P22">
        <v>-7.871751459422117E-5</v>
      </c>
      <c r="Q22">
        <v>-2.0522457437184891E-4</v>
      </c>
    </row>
    <row r="23" spans="1:17" x14ac:dyDescent="0.35">
      <c r="A23" t="s">
        <v>22</v>
      </c>
      <c r="B23" t="s">
        <v>20</v>
      </c>
      <c r="C23">
        <v>1</v>
      </c>
      <c r="D23">
        <v>-2.874797328272847E-3</v>
      </c>
      <c r="E23">
        <v>1.5729132062442281E-3</v>
      </c>
      <c r="F23">
        <v>-1.827689739561176</v>
      </c>
      <c r="G23">
        <v>6.7596128899449826E-2</v>
      </c>
      <c r="H23" t="s">
        <v>19</v>
      </c>
      <c r="I23">
        <v>154</v>
      </c>
      <c r="J23">
        <v>0.89128974146280993</v>
      </c>
      <c r="K23">
        <v>0.86693864355047934</v>
      </c>
      <c r="L23">
        <v>2.2837564368042198</v>
      </c>
      <c r="M23">
        <v>9.7127976901929883E-2</v>
      </c>
      <c r="N23">
        <v>4.0738529392679483E-3</v>
      </c>
      <c r="O23">
        <v>-6.9108909759831028E-4</v>
      </c>
      <c r="P23">
        <v>-4.3521624278696261E-5</v>
      </c>
      <c r="Q23">
        <v>1.047537844600982E-4</v>
      </c>
    </row>
    <row r="24" spans="1:17" x14ac:dyDescent="0.35">
      <c r="A24" t="s">
        <v>22</v>
      </c>
      <c r="B24" t="s">
        <v>20</v>
      </c>
      <c r="C24">
        <v>2</v>
      </c>
      <c r="D24">
        <v>1.420495938222481E-3</v>
      </c>
      <c r="E24">
        <v>1.452205711005743E-3</v>
      </c>
      <c r="F24">
        <v>0.97816440705132535</v>
      </c>
      <c r="G24">
        <v>0.32799301712412582</v>
      </c>
      <c r="I24">
        <v>153</v>
      </c>
      <c r="J24">
        <v>0.88980415312190408</v>
      </c>
      <c r="K24">
        <v>0.86492121995588245</v>
      </c>
      <c r="L24">
        <v>2.2998560565305901</v>
      </c>
      <c r="M24">
        <v>2.2091748829304019E-2</v>
      </c>
      <c r="N24">
        <v>2.5092493676185162E-3</v>
      </c>
      <c r="O24">
        <v>-7.4084841979018558E-4</v>
      </c>
      <c r="P24">
        <v>-1.2368921596829819E-4</v>
      </c>
      <c r="Q24">
        <v>-2.7561653356623358E-4</v>
      </c>
    </row>
    <row r="25" spans="1:17" x14ac:dyDescent="0.35">
      <c r="A25" t="s">
        <v>22</v>
      </c>
      <c r="B25" t="s">
        <v>20</v>
      </c>
      <c r="C25">
        <v>3</v>
      </c>
      <c r="D25">
        <v>8.6755264398658796E-4</v>
      </c>
      <c r="E25">
        <v>1.4067001329134199E-3</v>
      </c>
      <c r="F25">
        <v>0.61672891306962307</v>
      </c>
      <c r="G25">
        <v>0.53741354708054123</v>
      </c>
      <c r="I25">
        <v>152</v>
      </c>
      <c r="J25">
        <v>0.88926247908140876</v>
      </c>
      <c r="K25">
        <v>0.86405393773408723</v>
      </c>
      <c r="L25">
        <v>2.305115261056331</v>
      </c>
      <c r="M25">
        <v>1.7526896119401981E-2</v>
      </c>
      <c r="N25">
        <v>3.1884930206624918E-3</v>
      </c>
      <c r="O25">
        <v>-7.7111989274143288E-4</v>
      </c>
      <c r="P25">
        <v>-2.1162217865192929E-5</v>
      </c>
      <c r="Q25">
        <v>-1.68907095228918E-4</v>
      </c>
    </row>
    <row r="26" spans="1:17" x14ac:dyDescent="0.35">
      <c r="A26" t="s">
        <v>22</v>
      </c>
      <c r="B26" t="s">
        <v>20</v>
      </c>
      <c r="C26">
        <v>6</v>
      </c>
      <c r="D26">
        <v>1.3523584913754791E-3</v>
      </c>
      <c r="E26">
        <v>9.6660389941357868E-4</v>
      </c>
      <c r="F26">
        <v>1.399082387517711</v>
      </c>
      <c r="G26">
        <v>0.16178827858875811</v>
      </c>
      <c r="I26">
        <v>149</v>
      </c>
      <c r="J26">
        <v>0.89129568860533048</v>
      </c>
      <c r="K26">
        <v>0.86593134927990756</v>
      </c>
      <c r="L26">
        <v>2.26581288347161</v>
      </c>
      <c r="M26">
        <v>2.511100078982597E-2</v>
      </c>
      <c r="N26">
        <v>3.1314518163373479E-3</v>
      </c>
      <c r="O26">
        <v>-7.8597552389988675E-4</v>
      </c>
      <c r="P26">
        <v>1.1625146617167E-4</v>
      </c>
      <c r="Q26">
        <v>1.615989795244392E-4</v>
      </c>
    </row>
    <row r="27" spans="1:17" x14ac:dyDescent="0.35">
      <c r="A27" t="s">
        <v>22</v>
      </c>
      <c r="B27" t="s">
        <v>21</v>
      </c>
      <c r="C27">
        <v>0</v>
      </c>
      <c r="D27">
        <v>-2.2194941558112721E-3</v>
      </c>
      <c r="E27">
        <v>4.3262053907763718E-3</v>
      </c>
      <c r="F27">
        <v>-0.51303485510496438</v>
      </c>
      <c r="G27">
        <v>0.60792693943223375</v>
      </c>
      <c r="I27">
        <v>120</v>
      </c>
      <c r="J27">
        <v>0.78916977372497044</v>
      </c>
      <c r="K27">
        <v>0.73309790503480299</v>
      </c>
      <c r="L27">
        <v>2.353205201593719</v>
      </c>
      <c r="M27">
        <v>1.6968157376404491E-4</v>
      </c>
      <c r="N27">
        <v>6.7712405412691853E-4</v>
      </c>
      <c r="O27">
        <v>9.5035484542201325E-5</v>
      </c>
      <c r="P27">
        <v>-1.5908291378210701E-3</v>
      </c>
      <c r="Q27">
        <v>-6.012467037092812E-3</v>
      </c>
    </row>
    <row r="28" spans="1:17" x14ac:dyDescent="0.35">
      <c r="A28" t="s">
        <v>22</v>
      </c>
      <c r="B28" t="s">
        <v>21</v>
      </c>
      <c r="C28">
        <v>1</v>
      </c>
      <c r="D28">
        <v>-9.56476793930593E-3</v>
      </c>
      <c r="E28">
        <v>4.6219872048461116E-3</v>
      </c>
      <c r="F28">
        <v>-2.069405975264786</v>
      </c>
      <c r="G28">
        <v>3.8508006273548778E-2</v>
      </c>
      <c r="H28" t="s">
        <v>23</v>
      </c>
      <c r="I28">
        <v>120</v>
      </c>
      <c r="J28">
        <v>0.79832611205481807</v>
      </c>
      <c r="K28">
        <v>0.74468943972897184</v>
      </c>
      <c r="L28">
        <v>2.361637493362553</v>
      </c>
      <c r="M28">
        <v>1.156542727901446E-4</v>
      </c>
      <c r="N28">
        <v>6.2172857727990586E-3</v>
      </c>
      <c r="O28">
        <v>-3.3758885185423938E-4</v>
      </c>
      <c r="P28">
        <v>-1.1726578810214131E-3</v>
      </c>
      <c r="Q28">
        <v>-3.7385871567852998E-3</v>
      </c>
    </row>
    <row r="29" spans="1:17" x14ac:dyDescent="0.35">
      <c r="A29" t="s">
        <v>22</v>
      </c>
      <c r="B29" t="s">
        <v>21</v>
      </c>
      <c r="C29">
        <v>2</v>
      </c>
      <c r="D29">
        <v>2.0051328359099721E-3</v>
      </c>
      <c r="E29">
        <v>5.2208623270910467E-3</v>
      </c>
      <c r="F29">
        <v>0.38406161861525068</v>
      </c>
      <c r="G29">
        <v>0.70093277789984709</v>
      </c>
      <c r="I29">
        <v>120</v>
      </c>
      <c r="J29">
        <v>0.78923845409297977</v>
      </c>
      <c r="K29">
        <v>0.73318485145813395</v>
      </c>
      <c r="L29">
        <v>2.33494571818833</v>
      </c>
      <c r="M29">
        <v>1.9616199853452729E-4</v>
      </c>
      <c r="N29">
        <v>2.0195709483018468E-3</v>
      </c>
      <c r="O29">
        <v>1.109758957674612E-4</v>
      </c>
      <c r="P29">
        <v>-1.5071087839107239E-3</v>
      </c>
      <c r="Q29">
        <v>-5.4541190110648534E-3</v>
      </c>
    </row>
    <row r="30" spans="1:17" x14ac:dyDescent="0.35">
      <c r="A30" t="s">
        <v>22</v>
      </c>
      <c r="B30" t="s">
        <v>21</v>
      </c>
      <c r="C30">
        <v>3</v>
      </c>
      <c r="D30">
        <v>8.2796307742886641E-3</v>
      </c>
      <c r="E30">
        <v>4.5813528185210941E-3</v>
      </c>
      <c r="F30">
        <v>1.8072458294014151</v>
      </c>
      <c r="G30">
        <v>7.0723958132107523E-2</v>
      </c>
      <c r="H30" t="s">
        <v>19</v>
      </c>
      <c r="I30">
        <v>120</v>
      </c>
      <c r="J30">
        <v>0.79633986787771738</v>
      </c>
      <c r="K30">
        <v>0.74217493912179111</v>
      </c>
      <c r="L30">
        <v>2.3417076429315191</v>
      </c>
      <c r="M30">
        <v>6.6909353430152311E-5</v>
      </c>
      <c r="N30">
        <v>4.5729494371878126E-3</v>
      </c>
      <c r="O30">
        <v>6.8340794628676078E-5</v>
      </c>
      <c r="P30">
        <v>-1.615976094624807E-3</v>
      </c>
      <c r="Q30">
        <v>-5.4211622648190818E-3</v>
      </c>
    </row>
    <row r="31" spans="1:17" x14ac:dyDescent="0.35">
      <c r="A31" t="s">
        <v>22</v>
      </c>
      <c r="B31" t="s">
        <v>21</v>
      </c>
      <c r="C31">
        <v>6</v>
      </c>
      <c r="D31">
        <v>1.2687473514553769E-3</v>
      </c>
      <c r="E31">
        <v>2.7261037016410002E-3</v>
      </c>
      <c r="F31">
        <v>0.4654068554661529</v>
      </c>
      <c r="G31">
        <v>0.6416401257539176</v>
      </c>
      <c r="I31">
        <v>120</v>
      </c>
      <c r="J31">
        <v>0.78896283242312393</v>
      </c>
      <c r="K31">
        <v>0.73283592615267823</v>
      </c>
      <c r="L31">
        <v>2.336669107069584</v>
      </c>
      <c r="M31">
        <v>2.185309353434284E-4</v>
      </c>
      <c r="N31">
        <v>2.3026077846630649E-3</v>
      </c>
      <c r="O31">
        <v>1.4605556391745E-4</v>
      </c>
      <c r="P31">
        <v>-1.532008364562968E-3</v>
      </c>
      <c r="Q31">
        <v>-5.4831925275469042E-3</v>
      </c>
    </row>
    <row r="32" spans="1:17" x14ac:dyDescent="0.35">
      <c r="A32" t="s">
        <v>24</v>
      </c>
      <c r="B32" t="s">
        <v>18</v>
      </c>
      <c r="C32">
        <v>0</v>
      </c>
      <c r="D32">
        <v>-1.12387887606208E-2</v>
      </c>
      <c r="E32">
        <v>6.6060899162129804E-3</v>
      </c>
      <c r="F32">
        <v>-1.7012769888338981</v>
      </c>
      <c r="G32">
        <v>8.8890986872390471E-2</v>
      </c>
      <c r="H32" t="s">
        <v>19</v>
      </c>
      <c r="I32">
        <v>275</v>
      </c>
      <c r="J32">
        <v>0.53824217921323592</v>
      </c>
      <c r="K32">
        <v>0.4638913436628247</v>
      </c>
      <c r="L32">
        <v>2.080158886793571</v>
      </c>
      <c r="M32">
        <v>0.13532820481802821</v>
      </c>
      <c r="N32">
        <v>-5.9838931143693938E-3</v>
      </c>
      <c r="O32">
        <v>-1.178691190457789E-3</v>
      </c>
      <c r="P32">
        <v>-1.1824668898718629E-3</v>
      </c>
      <c r="Q32">
        <v>-5.1248759529135494E-3</v>
      </c>
    </row>
    <row r="33" spans="1:17" x14ac:dyDescent="0.35">
      <c r="A33" t="s">
        <v>24</v>
      </c>
      <c r="B33" t="s">
        <v>18</v>
      </c>
      <c r="C33">
        <v>1</v>
      </c>
      <c r="D33">
        <v>-2.775390818384885E-3</v>
      </c>
      <c r="E33">
        <v>3.5525630400537241E-3</v>
      </c>
      <c r="F33">
        <v>-0.7812361911930813</v>
      </c>
      <c r="G33">
        <v>0.43466359147535022</v>
      </c>
      <c r="I33">
        <v>274</v>
      </c>
      <c r="J33">
        <v>0.52556777815111066</v>
      </c>
      <c r="K33">
        <v>0.44885107844788602</v>
      </c>
      <c r="L33">
        <v>2.0641879181963878</v>
      </c>
      <c r="M33">
        <v>8.3468992230142397E-2</v>
      </c>
      <c r="N33">
        <v>4.775475953043778E-3</v>
      </c>
      <c r="O33">
        <v>-7.4278738673484702E-4</v>
      </c>
      <c r="P33">
        <v>-9.6362846551542602E-4</v>
      </c>
      <c r="Q33">
        <v>-2.852518976163565E-3</v>
      </c>
    </row>
    <row r="34" spans="1:17" x14ac:dyDescent="0.35">
      <c r="A34" t="s">
        <v>24</v>
      </c>
      <c r="B34" t="s">
        <v>18</v>
      </c>
      <c r="C34">
        <v>2</v>
      </c>
      <c r="D34">
        <v>1.3895316038202009E-3</v>
      </c>
      <c r="E34">
        <v>3.7198737783209028E-3</v>
      </c>
      <c r="F34">
        <v>0.3735426755386887</v>
      </c>
      <c r="G34">
        <v>0.70874458952737129</v>
      </c>
      <c r="I34">
        <v>273</v>
      </c>
      <c r="J34">
        <v>0.52315585718562518</v>
      </c>
      <c r="K34">
        <v>0.445719628865342</v>
      </c>
      <c r="L34">
        <v>2.058276109301973</v>
      </c>
      <c r="M34">
        <v>7.4326206296201652E-2</v>
      </c>
      <c r="N34">
        <v>3.311819472777454E-3</v>
      </c>
      <c r="O34">
        <v>-7.5016434577796203E-4</v>
      </c>
      <c r="P34">
        <v>-1.0159560946648449E-3</v>
      </c>
      <c r="Q34">
        <v>-3.2555284066861129E-3</v>
      </c>
    </row>
    <row r="35" spans="1:17" x14ac:dyDescent="0.35">
      <c r="A35" t="s">
        <v>24</v>
      </c>
      <c r="B35" t="s">
        <v>18</v>
      </c>
      <c r="C35">
        <v>3</v>
      </c>
      <c r="D35">
        <v>3.2367346945277198E-3</v>
      </c>
      <c r="E35">
        <v>2.861544081380109E-3</v>
      </c>
      <c r="F35">
        <v>1.131114741718974</v>
      </c>
      <c r="G35">
        <v>0.25800680034811357</v>
      </c>
      <c r="I35">
        <v>272</v>
      </c>
      <c r="J35">
        <v>0.52458484435239483</v>
      </c>
      <c r="K35">
        <v>0.44704932540557513</v>
      </c>
      <c r="L35">
        <v>2.054141365915346</v>
      </c>
      <c r="M35">
        <v>8.6730629156419908E-2</v>
      </c>
      <c r="N35">
        <v>4.3280900390517234E-3</v>
      </c>
      <c r="O35">
        <v>-8.5361274374873731E-4</v>
      </c>
      <c r="P35">
        <v>-9.1289629521066978E-4</v>
      </c>
      <c r="Q35">
        <v>-3.073504466474284E-3</v>
      </c>
    </row>
    <row r="36" spans="1:17" x14ac:dyDescent="0.35">
      <c r="A36" t="s">
        <v>24</v>
      </c>
      <c r="B36" t="s">
        <v>18</v>
      </c>
      <c r="C36">
        <v>6</v>
      </c>
      <c r="D36">
        <v>3.5944566698650829E-3</v>
      </c>
      <c r="E36">
        <v>2.16842612852358E-3</v>
      </c>
      <c r="F36">
        <v>1.6576339044173241</v>
      </c>
      <c r="G36">
        <v>9.7391382022200143E-2</v>
      </c>
      <c r="H36" t="s">
        <v>19</v>
      </c>
      <c r="I36">
        <v>269</v>
      </c>
      <c r="J36">
        <v>0.52549837265238541</v>
      </c>
      <c r="K36">
        <v>0.44710245161234469</v>
      </c>
      <c r="L36">
        <v>2.0599264787457972</v>
      </c>
      <c r="M36">
        <v>9.1155041769872824E-2</v>
      </c>
      <c r="N36">
        <v>3.5006320064433849E-3</v>
      </c>
      <c r="O36">
        <v>-8.1724883392535869E-4</v>
      </c>
      <c r="P36">
        <v>-8.3152054652029862E-4</v>
      </c>
      <c r="Q36">
        <v>-3.1721765005831878E-3</v>
      </c>
    </row>
    <row r="37" spans="1:17" x14ac:dyDescent="0.35">
      <c r="A37" t="s">
        <v>24</v>
      </c>
      <c r="B37" t="s">
        <v>20</v>
      </c>
      <c r="C37">
        <v>0</v>
      </c>
      <c r="D37">
        <v>-1.200411394559419E-2</v>
      </c>
      <c r="E37">
        <v>9.08245715662836E-3</v>
      </c>
      <c r="F37">
        <v>-1.3216813180157541</v>
      </c>
      <c r="G37">
        <v>0.18627429219040181</v>
      </c>
      <c r="I37">
        <v>155</v>
      </c>
      <c r="J37">
        <v>0.5058733819256569</v>
      </c>
      <c r="K37">
        <v>0.39606746679802513</v>
      </c>
      <c r="L37">
        <v>2.1468055617687112</v>
      </c>
      <c r="M37">
        <v>0.40132527491047931</v>
      </c>
      <c r="N37">
        <v>-1.015908213133046E-2</v>
      </c>
      <c r="O37">
        <v>-1.828628153851423E-3</v>
      </c>
      <c r="P37">
        <v>-9.8380309543234855E-4</v>
      </c>
      <c r="Q37">
        <v>-3.7401776210099161E-3</v>
      </c>
    </row>
    <row r="38" spans="1:17" x14ac:dyDescent="0.35">
      <c r="A38" t="s">
        <v>24</v>
      </c>
      <c r="B38" t="s">
        <v>20</v>
      </c>
      <c r="C38">
        <v>1</v>
      </c>
      <c r="D38">
        <v>-3.0792768261291049E-3</v>
      </c>
      <c r="E38">
        <v>4.7776361973107008E-3</v>
      </c>
      <c r="F38">
        <v>-0.64451889992427813</v>
      </c>
      <c r="G38">
        <v>0.51923900585780269</v>
      </c>
      <c r="I38">
        <v>154</v>
      </c>
      <c r="J38">
        <v>0.48543787468117822</v>
      </c>
      <c r="K38">
        <v>0.37017595860976199</v>
      </c>
      <c r="L38">
        <v>2.1657941091916961</v>
      </c>
      <c r="M38">
        <v>0.41601423105805652</v>
      </c>
      <c r="N38">
        <v>2.4130719817952572E-3</v>
      </c>
      <c r="O38">
        <v>-1.3962819023785669E-3</v>
      </c>
      <c r="P38">
        <v>-5.2388136416502205E-4</v>
      </c>
      <c r="Q38">
        <v>-2.1987444680241848E-3</v>
      </c>
    </row>
    <row r="39" spans="1:17" x14ac:dyDescent="0.35">
      <c r="A39" t="s">
        <v>24</v>
      </c>
      <c r="B39" t="s">
        <v>20</v>
      </c>
      <c r="C39">
        <v>2</v>
      </c>
      <c r="D39">
        <v>6.4979932461929288E-4</v>
      </c>
      <c r="E39">
        <v>4.5348392523029768E-3</v>
      </c>
      <c r="F39">
        <v>0.14329048693165869</v>
      </c>
      <c r="G39">
        <v>0.88606076863339633</v>
      </c>
      <c r="I39">
        <v>153</v>
      </c>
      <c r="J39">
        <v>0.47862111003664859</v>
      </c>
      <c r="K39">
        <v>0.36089039294815001</v>
      </c>
      <c r="L39">
        <v>2.1463241669026858</v>
      </c>
      <c r="M39">
        <v>0.38787855769607749</v>
      </c>
      <c r="N39">
        <v>8.978057305654237E-4</v>
      </c>
      <c r="O39">
        <v>-1.435994128252725E-3</v>
      </c>
      <c r="P39">
        <v>-5.8366008487861104E-4</v>
      </c>
      <c r="Q39">
        <v>-2.553387598681468E-3</v>
      </c>
    </row>
    <row r="40" spans="1:17" x14ac:dyDescent="0.35">
      <c r="A40" t="s">
        <v>24</v>
      </c>
      <c r="B40" t="s">
        <v>20</v>
      </c>
      <c r="C40">
        <v>3</v>
      </c>
      <c r="D40">
        <v>4.2120358561206712E-4</v>
      </c>
      <c r="E40">
        <v>3.1062643493116001E-3</v>
      </c>
      <c r="F40">
        <v>0.13559811343983419</v>
      </c>
      <c r="G40">
        <v>0.89213899693513787</v>
      </c>
      <c r="I40">
        <v>152</v>
      </c>
      <c r="J40">
        <v>0.47855876673752967</v>
      </c>
      <c r="K40">
        <v>0.35985669737696752</v>
      </c>
      <c r="L40">
        <v>2.1461859016706168</v>
      </c>
      <c r="M40">
        <v>0.39115965269788588</v>
      </c>
      <c r="N40">
        <v>1.1934796391654279E-3</v>
      </c>
      <c r="O40">
        <v>-1.4418098284898419E-3</v>
      </c>
      <c r="P40">
        <v>-5.3650362168263747E-4</v>
      </c>
      <c r="Q40">
        <v>-2.498773494919772E-3</v>
      </c>
    </row>
    <row r="41" spans="1:17" x14ac:dyDescent="0.35">
      <c r="A41" t="s">
        <v>24</v>
      </c>
      <c r="B41" t="s">
        <v>20</v>
      </c>
      <c r="C41">
        <v>6</v>
      </c>
      <c r="D41">
        <v>2.1714569432166111E-3</v>
      </c>
      <c r="E41">
        <v>2.4460092559120041E-3</v>
      </c>
      <c r="F41">
        <v>0.88775499846053318</v>
      </c>
      <c r="G41">
        <v>0.37467255451326081</v>
      </c>
      <c r="I41">
        <v>149</v>
      </c>
      <c r="J41">
        <v>0.48043166203869248</v>
      </c>
      <c r="K41">
        <v>0.35919904984772072</v>
      </c>
      <c r="L41">
        <v>2.139623060128963</v>
      </c>
      <c r="M41">
        <v>0.40858182388902259</v>
      </c>
      <c r="N41">
        <v>1.043616010768031E-3</v>
      </c>
      <c r="O41">
        <v>-1.4978903959639201E-3</v>
      </c>
      <c r="P41">
        <v>-3.5546387687234902E-4</v>
      </c>
      <c r="Q41">
        <v>-2.2756574100849421E-3</v>
      </c>
    </row>
    <row r="42" spans="1:17" x14ac:dyDescent="0.35">
      <c r="A42" t="s">
        <v>24</v>
      </c>
      <c r="B42" t="s">
        <v>21</v>
      </c>
      <c r="C42">
        <v>0</v>
      </c>
      <c r="D42">
        <v>-1.3566526552731009E-2</v>
      </c>
      <c r="E42">
        <v>1.1018618412096341E-2</v>
      </c>
      <c r="F42">
        <v>-1.2312366256224601</v>
      </c>
      <c r="G42">
        <v>0.21823437674367799</v>
      </c>
      <c r="I42">
        <v>120</v>
      </c>
      <c r="J42">
        <v>0.62177011913293156</v>
      </c>
      <c r="K42">
        <v>0.52117706571083888</v>
      </c>
      <c r="L42">
        <v>1.994441350908349</v>
      </c>
      <c r="M42">
        <v>0.58708151834273914</v>
      </c>
      <c r="N42">
        <v>-1.5094842219239791E-4</v>
      </c>
      <c r="O42">
        <v>-7.2546425230091539E-4</v>
      </c>
      <c r="P42">
        <v>-1.332812370994223E-3</v>
      </c>
      <c r="Q42">
        <v>-7.669721159625548E-3</v>
      </c>
    </row>
    <row r="43" spans="1:17" x14ac:dyDescent="0.35">
      <c r="A43" t="s">
        <v>24</v>
      </c>
      <c r="B43" t="s">
        <v>21</v>
      </c>
      <c r="C43">
        <v>1</v>
      </c>
      <c r="D43">
        <v>-2.9265393025834458E-3</v>
      </c>
      <c r="E43">
        <v>6.1376228243691039E-3</v>
      </c>
      <c r="F43">
        <v>-0.47681967209907028</v>
      </c>
      <c r="G43">
        <v>0.63349053622849405</v>
      </c>
      <c r="I43">
        <v>120</v>
      </c>
      <c r="J43">
        <v>0.6112742891014753</v>
      </c>
      <c r="K43">
        <v>0.50788979152208036</v>
      </c>
      <c r="L43">
        <v>1.9509730426074761</v>
      </c>
      <c r="M43">
        <v>0.47064576130050911</v>
      </c>
      <c r="N43">
        <v>1.057224394227581E-2</v>
      </c>
      <c r="O43">
        <v>-6.0108912778263058E-4</v>
      </c>
      <c r="P43">
        <v>-9.9601149189750384E-4</v>
      </c>
      <c r="Q43">
        <v>-3.8725821140947261E-3</v>
      </c>
    </row>
    <row r="44" spans="1:17" x14ac:dyDescent="0.35">
      <c r="A44" t="s">
        <v>24</v>
      </c>
      <c r="B44" t="s">
        <v>21</v>
      </c>
      <c r="C44">
        <v>2</v>
      </c>
      <c r="D44">
        <v>3.1510754083262198E-4</v>
      </c>
      <c r="E44">
        <v>3.7468292410462942E-3</v>
      </c>
      <c r="F44">
        <v>8.4099786929342113E-2</v>
      </c>
      <c r="G44">
        <v>0.93297709405115303</v>
      </c>
      <c r="I44">
        <v>120</v>
      </c>
      <c r="J44">
        <v>0.61061144598748218</v>
      </c>
      <c r="K44">
        <v>0.50705066034585511</v>
      </c>
      <c r="L44">
        <v>1.9429280646142451</v>
      </c>
      <c r="M44">
        <v>0.42726087191106671</v>
      </c>
      <c r="N44">
        <v>9.2790923385342224E-3</v>
      </c>
      <c r="O44">
        <v>-4.5986472745082E-4</v>
      </c>
      <c r="P44">
        <v>-1.107382003412436E-3</v>
      </c>
      <c r="Q44">
        <v>-4.4276370973783596E-3</v>
      </c>
    </row>
    <row r="45" spans="1:17" x14ac:dyDescent="0.35">
      <c r="A45" t="s">
        <v>24</v>
      </c>
      <c r="B45" t="s">
        <v>21</v>
      </c>
      <c r="C45">
        <v>3</v>
      </c>
      <c r="D45">
        <v>1.2628653857211781E-2</v>
      </c>
      <c r="E45">
        <v>7.8030808769868421E-3</v>
      </c>
      <c r="F45">
        <v>1.618418936865913</v>
      </c>
      <c r="G45">
        <v>0.1055723436627547</v>
      </c>
      <c r="I45">
        <v>120</v>
      </c>
      <c r="J45">
        <v>0.62379819302252448</v>
      </c>
      <c r="K45">
        <v>0.523744520954047</v>
      </c>
      <c r="L45">
        <v>1.8961344839438281</v>
      </c>
      <c r="M45">
        <v>0.42995086500959301</v>
      </c>
      <c r="N45">
        <v>1.307379299735573E-2</v>
      </c>
      <c r="O45">
        <v>-5.6709721880609403E-4</v>
      </c>
      <c r="P45">
        <v>-1.208043547658302E-3</v>
      </c>
      <c r="Q45">
        <v>-4.3628482444586607E-3</v>
      </c>
    </row>
    <row r="46" spans="1:17" x14ac:dyDescent="0.35">
      <c r="A46" t="s">
        <v>24</v>
      </c>
      <c r="B46" t="s">
        <v>21</v>
      </c>
      <c r="C46">
        <v>6</v>
      </c>
      <c r="D46">
        <v>8.9495695343553613E-3</v>
      </c>
      <c r="E46">
        <v>3.9424608632861614E-3</v>
      </c>
      <c r="F46">
        <v>2.2700465127498108</v>
      </c>
      <c r="G46">
        <v>2.320476108199818E-2</v>
      </c>
      <c r="H46" t="s">
        <v>23</v>
      </c>
      <c r="I46">
        <v>120</v>
      </c>
      <c r="J46">
        <v>0.61777184489922221</v>
      </c>
      <c r="K46">
        <v>0.51611542067029192</v>
      </c>
      <c r="L46">
        <v>1.946147348869075</v>
      </c>
      <c r="M46">
        <v>0.47214960301473102</v>
      </c>
      <c r="N46">
        <v>1.011347525312598E-2</v>
      </c>
      <c r="O46">
        <v>-3.6348061960259819E-4</v>
      </c>
      <c r="P46">
        <v>-9.5596195154366295E-4</v>
      </c>
      <c r="Q46">
        <v>-4.2663044510967123E-3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C9" sqref="C9"/>
    </sheetView>
  </sheetViews>
  <sheetFormatPr defaultRowHeight="14.5" x14ac:dyDescent="0.35"/>
  <sheetData>
    <row r="1" spans="1:10" x14ac:dyDescent="0.35">
      <c r="A1" t="s">
        <v>0</v>
      </c>
      <c r="B1" s="5" t="s">
        <v>17</v>
      </c>
      <c r="C1" s="5"/>
      <c r="D1" s="5"/>
      <c r="E1" s="5" t="s">
        <v>22</v>
      </c>
      <c r="F1" s="5"/>
      <c r="G1" s="5"/>
      <c r="H1" s="5" t="s">
        <v>24</v>
      </c>
      <c r="I1" s="5"/>
      <c r="J1" s="5"/>
    </row>
    <row r="2" spans="1:10" x14ac:dyDescent="0.35">
      <c r="A2" t="s">
        <v>1</v>
      </c>
      <c r="B2" t="s">
        <v>20</v>
      </c>
      <c r="C2" t="s">
        <v>18</v>
      </c>
      <c r="D2" t="s">
        <v>21</v>
      </c>
      <c r="E2" t="s">
        <v>20</v>
      </c>
      <c r="F2" t="s">
        <v>18</v>
      </c>
      <c r="G2" t="s">
        <v>21</v>
      </c>
      <c r="H2" t="s">
        <v>20</v>
      </c>
      <c r="I2" t="s">
        <v>18</v>
      </c>
      <c r="J2" t="s">
        <v>21</v>
      </c>
    </row>
    <row r="3" spans="1:10" x14ac:dyDescent="0.35">
      <c r="A3" t="s">
        <v>2</v>
      </c>
    </row>
    <row r="4" spans="1:10" x14ac:dyDescent="0.35">
      <c r="A4">
        <v>0</v>
      </c>
      <c r="B4" t="s">
        <v>25</v>
      </c>
      <c r="C4" t="s">
        <v>26</v>
      </c>
      <c r="D4" t="s">
        <v>27</v>
      </c>
      <c r="E4" t="s">
        <v>28</v>
      </c>
      <c r="F4" t="s">
        <v>25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35">
      <c r="A5">
        <v>1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35">
      <c r="A6">
        <v>2</v>
      </c>
      <c r="B6" t="s">
        <v>42</v>
      </c>
      <c r="C6" t="s">
        <v>43</v>
      </c>
      <c r="D6" t="s">
        <v>25</v>
      </c>
      <c r="E6" t="s">
        <v>44</v>
      </c>
      <c r="F6" t="s">
        <v>45</v>
      </c>
      <c r="G6" t="s">
        <v>46</v>
      </c>
      <c r="H6" t="s">
        <v>47</v>
      </c>
      <c r="I6" t="s">
        <v>44</v>
      </c>
      <c r="J6" t="s">
        <v>48</v>
      </c>
    </row>
    <row r="7" spans="1:10" x14ac:dyDescent="0.35">
      <c r="A7">
        <v>3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</row>
    <row r="8" spans="1:10" x14ac:dyDescent="0.35">
      <c r="A8">
        <v>6</v>
      </c>
      <c r="B8" t="s">
        <v>57</v>
      </c>
      <c r="C8" t="s">
        <v>58</v>
      </c>
      <c r="D8" t="s">
        <v>59</v>
      </c>
      <c r="E8" t="s">
        <v>44</v>
      </c>
      <c r="F8" t="s">
        <v>47</v>
      </c>
      <c r="G8" t="s">
        <v>60</v>
      </c>
      <c r="H8" t="s">
        <v>45</v>
      </c>
      <c r="I8" t="s">
        <v>61</v>
      </c>
      <c r="J8" t="s">
        <v>62</v>
      </c>
    </row>
    <row r="12" spans="1:10" x14ac:dyDescent="0.35">
      <c r="A12" t="s">
        <v>0</v>
      </c>
      <c r="B12" t="s">
        <v>1</v>
      </c>
      <c r="C12" t="s">
        <v>2</v>
      </c>
      <c r="D12">
        <v>0</v>
      </c>
      <c r="E12">
        <v>1</v>
      </c>
      <c r="F12">
        <v>2</v>
      </c>
      <c r="G12">
        <v>3</v>
      </c>
      <c r="H12">
        <v>6</v>
      </c>
    </row>
    <row r="13" spans="1:10" x14ac:dyDescent="0.35">
      <c r="A13" s="5" t="s">
        <v>17</v>
      </c>
      <c r="B13" t="s">
        <v>20</v>
      </c>
      <c r="D13" t="s">
        <v>25</v>
      </c>
      <c r="E13" t="s">
        <v>33</v>
      </c>
      <c r="F13" t="s">
        <v>42</v>
      </c>
      <c r="G13" t="s">
        <v>49</v>
      </c>
      <c r="H13" t="s">
        <v>57</v>
      </c>
    </row>
    <row r="14" spans="1:10" x14ac:dyDescent="0.35">
      <c r="A14" s="5"/>
      <c r="B14" t="s">
        <v>18</v>
      </c>
      <c r="D14" t="s">
        <v>26</v>
      </c>
      <c r="E14" t="s">
        <v>34</v>
      </c>
      <c r="F14" t="s">
        <v>43</v>
      </c>
      <c r="G14" t="s">
        <v>50</v>
      </c>
      <c r="H14" t="s">
        <v>58</v>
      </c>
    </row>
    <row r="15" spans="1:10" x14ac:dyDescent="0.35">
      <c r="A15" s="5"/>
      <c r="B15" t="s">
        <v>21</v>
      </c>
      <c r="D15" t="s">
        <v>27</v>
      </c>
      <c r="E15" t="s">
        <v>35</v>
      </c>
      <c r="F15" t="s">
        <v>25</v>
      </c>
      <c r="G15" t="s">
        <v>51</v>
      </c>
      <c r="H15" t="s">
        <v>59</v>
      </c>
    </row>
    <row r="16" spans="1:10" x14ac:dyDescent="0.35">
      <c r="A16" s="5" t="s">
        <v>22</v>
      </c>
      <c r="B16" t="s">
        <v>20</v>
      </c>
      <c r="D16" t="s">
        <v>28</v>
      </c>
      <c r="E16" t="s">
        <v>36</v>
      </c>
      <c r="F16" t="s">
        <v>44</v>
      </c>
      <c r="G16" t="s">
        <v>52</v>
      </c>
      <c r="H16" t="s">
        <v>44</v>
      </c>
    </row>
    <row r="17" spans="1:8" x14ac:dyDescent="0.35">
      <c r="A17" s="5"/>
      <c r="B17" t="s">
        <v>18</v>
      </c>
      <c r="D17" t="s">
        <v>25</v>
      </c>
      <c r="E17" t="s">
        <v>37</v>
      </c>
      <c r="F17" t="s">
        <v>45</v>
      </c>
      <c r="G17" t="s">
        <v>53</v>
      </c>
      <c r="H17" t="s">
        <v>47</v>
      </c>
    </row>
    <row r="18" spans="1:8" x14ac:dyDescent="0.35">
      <c r="A18" s="5"/>
      <c r="B18" t="s">
        <v>21</v>
      </c>
      <c r="D18" t="s">
        <v>29</v>
      </c>
      <c r="E18" t="s">
        <v>38</v>
      </c>
      <c r="F18" t="s">
        <v>46</v>
      </c>
      <c r="G18" t="s">
        <v>54</v>
      </c>
      <c r="H18" t="s">
        <v>60</v>
      </c>
    </row>
    <row r="19" spans="1:8" x14ac:dyDescent="0.35">
      <c r="A19" s="5" t="s">
        <v>24</v>
      </c>
      <c r="B19" t="s">
        <v>20</v>
      </c>
      <c r="D19" t="s">
        <v>30</v>
      </c>
      <c r="E19" t="s">
        <v>39</v>
      </c>
      <c r="F19" t="s">
        <v>47</v>
      </c>
      <c r="G19" t="s">
        <v>42</v>
      </c>
      <c r="H19" t="s">
        <v>45</v>
      </c>
    </row>
    <row r="20" spans="1:8" x14ac:dyDescent="0.35">
      <c r="A20" s="5"/>
      <c r="B20" t="s">
        <v>18</v>
      </c>
      <c r="D20" t="s">
        <v>31</v>
      </c>
      <c r="E20" t="s">
        <v>40</v>
      </c>
      <c r="F20" t="s">
        <v>44</v>
      </c>
      <c r="G20" t="s">
        <v>55</v>
      </c>
      <c r="H20" t="s">
        <v>61</v>
      </c>
    </row>
    <row r="21" spans="1:8" x14ac:dyDescent="0.35">
      <c r="A21" s="5"/>
      <c r="B21" t="s">
        <v>21</v>
      </c>
      <c r="D21" t="s">
        <v>32</v>
      </c>
      <c r="E21" t="s">
        <v>41</v>
      </c>
      <c r="F21" t="s">
        <v>48</v>
      </c>
      <c r="G21" t="s">
        <v>56</v>
      </c>
      <c r="H21" t="s">
        <v>62</v>
      </c>
    </row>
  </sheetData>
  <mergeCells count="6">
    <mergeCell ref="A13:A15"/>
    <mergeCell ref="A16:A18"/>
    <mergeCell ref="A19:A21"/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/>
  </sheetViews>
  <sheetFormatPr defaultRowHeight="14.5" x14ac:dyDescent="0.35"/>
  <sheetData>
    <row r="1" spans="1:10" x14ac:dyDescent="0.35">
      <c r="A1" t="s">
        <v>0</v>
      </c>
      <c r="B1" s="5" t="s">
        <v>17</v>
      </c>
      <c r="C1" s="5"/>
      <c r="D1" s="5"/>
      <c r="E1" s="5" t="s">
        <v>22</v>
      </c>
      <c r="F1" s="5"/>
      <c r="G1" s="5"/>
      <c r="H1" s="5" t="s">
        <v>24</v>
      </c>
      <c r="I1" s="5"/>
      <c r="J1" s="5"/>
    </row>
    <row r="2" spans="1:10" x14ac:dyDescent="0.35">
      <c r="A2" t="s">
        <v>1</v>
      </c>
      <c r="B2" t="s">
        <v>20</v>
      </c>
      <c r="C2" t="s">
        <v>18</v>
      </c>
      <c r="D2" t="s">
        <v>21</v>
      </c>
      <c r="E2" t="s">
        <v>20</v>
      </c>
      <c r="F2" t="s">
        <v>18</v>
      </c>
      <c r="G2" t="s">
        <v>21</v>
      </c>
      <c r="H2" t="s">
        <v>20</v>
      </c>
      <c r="I2" t="s">
        <v>18</v>
      </c>
      <c r="J2" t="s">
        <v>21</v>
      </c>
    </row>
    <row r="3" spans="1:10" x14ac:dyDescent="0.35">
      <c r="A3" t="s">
        <v>2</v>
      </c>
    </row>
    <row r="4" spans="1:10" x14ac:dyDescent="0.35">
      <c r="A4">
        <v>0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35">
      <c r="A5">
        <v>1</v>
      </c>
      <c r="B5" t="s">
        <v>72</v>
      </c>
      <c r="C5" t="s">
        <v>73</v>
      </c>
      <c r="D5" t="s">
        <v>74</v>
      </c>
      <c r="E5" t="s">
        <v>72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</row>
    <row r="6" spans="1:10" x14ac:dyDescent="0.35">
      <c r="A6">
        <v>2</v>
      </c>
      <c r="B6" t="s">
        <v>80</v>
      </c>
      <c r="C6" t="s">
        <v>81</v>
      </c>
      <c r="D6" t="s">
        <v>82</v>
      </c>
      <c r="E6" t="s">
        <v>73</v>
      </c>
      <c r="F6" t="s">
        <v>83</v>
      </c>
      <c r="G6" t="s">
        <v>84</v>
      </c>
      <c r="H6" t="s">
        <v>85</v>
      </c>
      <c r="I6" t="s">
        <v>86</v>
      </c>
      <c r="J6" t="s">
        <v>86</v>
      </c>
    </row>
    <row r="7" spans="1:10" x14ac:dyDescent="0.35">
      <c r="A7">
        <v>3</v>
      </c>
      <c r="B7" t="s">
        <v>73</v>
      </c>
      <c r="C7" t="s">
        <v>72</v>
      </c>
      <c r="D7" t="s">
        <v>87</v>
      </c>
      <c r="E7" t="s">
        <v>88</v>
      </c>
      <c r="F7" t="s">
        <v>80</v>
      </c>
      <c r="G7" t="s">
        <v>76</v>
      </c>
      <c r="H7" t="s">
        <v>89</v>
      </c>
      <c r="I7" t="s">
        <v>74</v>
      </c>
      <c r="J7" t="s">
        <v>90</v>
      </c>
    </row>
    <row r="8" spans="1:10" x14ac:dyDescent="0.35">
      <c r="A8">
        <v>6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64</v>
      </c>
      <c r="H8" t="s">
        <v>93</v>
      </c>
      <c r="I8" t="s">
        <v>83</v>
      </c>
      <c r="J8" t="s">
        <v>96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workbookViewId="0">
      <selection activeCell="D6" sqref="D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5">
      <c r="A2" t="s">
        <v>17</v>
      </c>
      <c r="B2" t="s">
        <v>18</v>
      </c>
      <c r="C2">
        <v>0</v>
      </c>
      <c r="D2">
        <v>275</v>
      </c>
      <c r="E2">
        <v>0.72825572306047648</v>
      </c>
      <c r="F2">
        <v>0.68450028863801082</v>
      </c>
      <c r="G2">
        <v>2.1412311953471361</v>
      </c>
      <c r="H2">
        <v>8.3049872452354984E-3</v>
      </c>
    </row>
    <row r="3" spans="1:8" x14ac:dyDescent="0.35">
      <c r="A3" t="s">
        <v>17</v>
      </c>
      <c r="B3" t="s">
        <v>18</v>
      </c>
      <c r="C3">
        <v>1</v>
      </c>
      <c r="D3">
        <v>274</v>
      </c>
      <c r="E3">
        <v>0.72653520131543159</v>
      </c>
      <c r="F3">
        <v>0.68231536152813965</v>
      </c>
      <c r="G3">
        <v>2.1300576475754771</v>
      </c>
      <c r="H3">
        <v>8.0015627674175759E-3</v>
      </c>
    </row>
    <row r="4" spans="1:8" x14ac:dyDescent="0.35">
      <c r="A4" t="s">
        <v>17</v>
      </c>
      <c r="B4" t="s">
        <v>18</v>
      </c>
      <c r="C4">
        <v>2</v>
      </c>
      <c r="D4">
        <v>273</v>
      </c>
      <c r="E4">
        <v>0.72304183795601085</v>
      </c>
      <c r="F4">
        <v>0.67806572617108951</v>
      </c>
      <c r="G4">
        <v>2.118990073220735</v>
      </c>
      <c r="H4">
        <v>4.2045214554588756E-3</v>
      </c>
    </row>
    <row r="5" spans="1:8" x14ac:dyDescent="0.35">
      <c r="A5" t="s">
        <v>17</v>
      </c>
      <c r="B5" t="s">
        <v>18</v>
      </c>
      <c r="C5">
        <v>3</v>
      </c>
      <c r="D5">
        <v>272</v>
      </c>
      <c r="E5">
        <v>0.72621268705506192</v>
      </c>
      <c r="F5">
        <v>0.6815606789352866</v>
      </c>
      <c r="G5">
        <v>2.1106047004380382</v>
      </c>
      <c r="H5">
        <v>7.0974855500323727E-3</v>
      </c>
    </row>
    <row r="6" spans="1:8" x14ac:dyDescent="0.35">
      <c r="A6" t="s">
        <v>17</v>
      </c>
      <c r="B6" t="s">
        <v>18</v>
      </c>
      <c r="C6">
        <v>6</v>
      </c>
      <c r="D6">
        <v>269</v>
      </c>
      <c r="E6">
        <v>0.72573578124285021</v>
      </c>
      <c r="F6">
        <v>0.68042256249166888</v>
      </c>
      <c r="G6">
        <v>2.1240453255693872</v>
      </c>
      <c r="H6">
        <v>7.1959230998767934E-3</v>
      </c>
    </row>
    <row r="7" spans="1:8" x14ac:dyDescent="0.35">
      <c r="A7" t="s">
        <v>17</v>
      </c>
      <c r="B7" t="s">
        <v>20</v>
      </c>
      <c r="C7">
        <v>0</v>
      </c>
      <c r="D7">
        <v>155</v>
      </c>
      <c r="E7">
        <v>0.795930589526336</v>
      </c>
      <c r="F7">
        <v>0.7505818316432995</v>
      </c>
      <c r="G7">
        <v>2.3536225695138362</v>
      </c>
      <c r="H7">
        <v>9.3890256615778281E-2</v>
      </c>
    </row>
    <row r="8" spans="1:8" x14ac:dyDescent="0.35">
      <c r="A8" t="s">
        <v>17</v>
      </c>
      <c r="B8" t="s">
        <v>20</v>
      </c>
      <c r="C8">
        <v>1</v>
      </c>
      <c r="D8">
        <v>154</v>
      </c>
      <c r="E8">
        <v>0.79733732475739272</v>
      </c>
      <c r="F8">
        <v>0.75194088550304872</v>
      </c>
      <c r="G8">
        <v>2.3755335446816179</v>
      </c>
      <c r="H8">
        <v>0.1213357797446188</v>
      </c>
    </row>
    <row r="9" spans="1:8" x14ac:dyDescent="0.35">
      <c r="A9" t="s">
        <v>17</v>
      </c>
      <c r="B9" t="s">
        <v>20</v>
      </c>
      <c r="C9">
        <v>2</v>
      </c>
      <c r="D9">
        <v>153</v>
      </c>
      <c r="E9">
        <v>0.79138430505103274</v>
      </c>
      <c r="F9">
        <v>0.74427753522384665</v>
      </c>
      <c r="G9">
        <v>2.3597903175775352</v>
      </c>
      <c r="H9">
        <v>0.10413643458432111</v>
      </c>
    </row>
    <row r="10" spans="1:8" x14ac:dyDescent="0.35">
      <c r="A10" t="s">
        <v>17</v>
      </c>
      <c r="B10" t="s">
        <v>20</v>
      </c>
      <c r="C10">
        <v>3</v>
      </c>
      <c r="D10">
        <v>152</v>
      </c>
      <c r="E10">
        <v>0.79163292549850151</v>
      </c>
      <c r="F10">
        <v>0.74419977032742868</v>
      </c>
      <c r="G10">
        <v>2.350238419451613</v>
      </c>
      <c r="H10">
        <v>0.109731923968134</v>
      </c>
    </row>
    <row r="11" spans="1:8" x14ac:dyDescent="0.35">
      <c r="A11" t="s">
        <v>17</v>
      </c>
      <c r="B11" t="s">
        <v>20</v>
      </c>
      <c r="C11">
        <v>6</v>
      </c>
      <c r="D11">
        <v>149</v>
      </c>
      <c r="E11">
        <v>0.79432135377228208</v>
      </c>
      <c r="F11">
        <v>0.74632966965248126</v>
      </c>
      <c r="G11">
        <v>2.3339000106205621</v>
      </c>
      <c r="H11">
        <v>0.14458130866929531</v>
      </c>
    </row>
    <row r="12" spans="1:8" x14ac:dyDescent="0.35">
      <c r="A12" t="s">
        <v>17</v>
      </c>
      <c r="B12" t="s">
        <v>21</v>
      </c>
      <c r="C12">
        <v>0</v>
      </c>
      <c r="D12">
        <v>120</v>
      </c>
      <c r="E12">
        <v>0.74475257133554817</v>
      </c>
      <c r="F12">
        <v>0.67686761690351305</v>
      </c>
      <c r="G12">
        <v>2.0658868949819649</v>
      </c>
      <c r="H12">
        <v>9.0408293543568718E-2</v>
      </c>
    </row>
    <row r="13" spans="1:8" x14ac:dyDescent="0.35">
      <c r="A13" t="s">
        <v>17</v>
      </c>
      <c r="B13" t="s">
        <v>21</v>
      </c>
      <c r="C13">
        <v>1</v>
      </c>
      <c r="D13">
        <v>120</v>
      </c>
      <c r="E13">
        <v>0.73967610426670016</v>
      </c>
      <c r="F13">
        <v>0.6704410256142268</v>
      </c>
      <c r="G13">
        <v>2.052889426632226</v>
      </c>
      <c r="H13">
        <v>9.9821483616936851E-2</v>
      </c>
    </row>
    <row r="14" spans="1:8" x14ac:dyDescent="0.35">
      <c r="A14" t="s">
        <v>17</v>
      </c>
      <c r="B14" t="s">
        <v>21</v>
      </c>
      <c r="C14">
        <v>2</v>
      </c>
      <c r="D14">
        <v>120</v>
      </c>
      <c r="E14">
        <v>0.73877805970170352</v>
      </c>
      <c r="F14">
        <v>0.66930413940960332</v>
      </c>
      <c r="G14">
        <v>2.018837371238456</v>
      </c>
      <c r="H14">
        <v>7.267563901825759E-2</v>
      </c>
    </row>
    <row r="15" spans="1:8" x14ac:dyDescent="0.35">
      <c r="A15" t="s">
        <v>17</v>
      </c>
      <c r="B15" t="s">
        <v>21</v>
      </c>
      <c r="C15">
        <v>3</v>
      </c>
      <c r="D15">
        <v>120</v>
      </c>
      <c r="E15">
        <v>0.74791959056940616</v>
      </c>
      <c r="F15">
        <v>0.68087692848680148</v>
      </c>
      <c r="G15">
        <v>1.993028825775879</v>
      </c>
      <c r="H15">
        <v>8.5252809986739092E-2</v>
      </c>
    </row>
    <row r="16" spans="1:8" x14ac:dyDescent="0.35">
      <c r="A16" t="s">
        <v>17</v>
      </c>
      <c r="B16" t="s">
        <v>21</v>
      </c>
      <c r="C16">
        <v>6</v>
      </c>
      <c r="D16">
        <v>120</v>
      </c>
      <c r="E16">
        <v>0.7409347295791695</v>
      </c>
      <c r="F16">
        <v>0.67203439170128898</v>
      </c>
      <c r="G16">
        <v>2.0379740648193052</v>
      </c>
      <c r="H16">
        <v>8.7561861315663111E-2</v>
      </c>
    </row>
    <row r="17" spans="1:8" x14ac:dyDescent="0.35">
      <c r="A17" t="s">
        <v>22</v>
      </c>
      <c r="B17" t="s">
        <v>18</v>
      </c>
      <c r="C17">
        <v>0</v>
      </c>
      <c r="D17">
        <v>275</v>
      </c>
      <c r="E17">
        <v>0.78699461080079347</v>
      </c>
      <c r="F17">
        <v>0.7526971328788874</v>
      </c>
      <c r="G17">
        <v>2.3669483489083851</v>
      </c>
      <c r="H17">
        <v>7.970606747757914E-9</v>
      </c>
    </row>
    <row r="18" spans="1:8" x14ac:dyDescent="0.35">
      <c r="A18" t="s">
        <v>22</v>
      </c>
      <c r="B18" t="s">
        <v>18</v>
      </c>
      <c r="C18">
        <v>1</v>
      </c>
      <c r="D18">
        <v>274</v>
      </c>
      <c r="E18">
        <v>0.79270892705284013</v>
      </c>
      <c r="F18">
        <v>0.75918951951244829</v>
      </c>
      <c r="G18">
        <v>2.340402288631271</v>
      </c>
      <c r="H18">
        <v>4.7263387904020482E-8</v>
      </c>
    </row>
    <row r="19" spans="1:8" x14ac:dyDescent="0.35">
      <c r="A19" t="s">
        <v>22</v>
      </c>
      <c r="B19" t="s">
        <v>18</v>
      </c>
      <c r="C19">
        <v>2</v>
      </c>
      <c r="D19">
        <v>273</v>
      </c>
      <c r="E19">
        <v>0.79049481384043552</v>
      </c>
      <c r="F19">
        <v>0.75647260412221562</v>
      </c>
      <c r="G19">
        <v>2.3567504781159561</v>
      </c>
      <c r="H19">
        <v>9.5950627562140308E-9</v>
      </c>
    </row>
    <row r="20" spans="1:8" x14ac:dyDescent="0.35">
      <c r="A20" t="s">
        <v>22</v>
      </c>
      <c r="B20" t="s">
        <v>18</v>
      </c>
      <c r="C20">
        <v>3</v>
      </c>
      <c r="D20">
        <v>272</v>
      </c>
      <c r="E20">
        <v>0.79119031353130986</v>
      </c>
      <c r="F20">
        <v>0.75713551487976383</v>
      </c>
      <c r="G20">
        <v>2.3687230061800899</v>
      </c>
      <c r="H20">
        <v>5.6381433917110141E-9</v>
      </c>
    </row>
    <row r="21" spans="1:8" x14ac:dyDescent="0.35">
      <c r="A21" t="s">
        <v>22</v>
      </c>
      <c r="B21" t="s">
        <v>18</v>
      </c>
      <c r="C21">
        <v>6</v>
      </c>
      <c r="D21">
        <v>269</v>
      </c>
      <c r="E21">
        <v>0.78975851947793241</v>
      </c>
      <c r="F21">
        <v>0.75502297052211254</v>
      </c>
      <c r="G21">
        <v>2.3588752077987198</v>
      </c>
      <c r="H21">
        <v>1.160121702027479E-8</v>
      </c>
    </row>
    <row r="22" spans="1:8" x14ac:dyDescent="0.35">
      <c r="A22" t="s">
        <v>22</v>
      </c>
      <c r="B22" t="s">
        <v>20</v>
      </c>
      <c r="C22">
        <v>0</v>
      </c>
      <c r="D22">
        <v>155</v>
      </c>
      <c r="E22">
        <v>0.88762635435304749</v>
      </c>
      <c r="F22">
        <v>0.86265443309816914</v>
      </c>
      <c r="G22">
        <v>2.306293891047698</v>
      </c>
      <c r="H22">
        <v>1.929559362254207E-2</v>
      </c>
    </row>
    <row r="23" spans="1:8" x14ac:dyDescent="0.35">
      <c r="A23" t="s">
        <v>22</v>
      </c>
      <c r="B23" t="s">
        <v>20</v>
      </c>
      <c r="C23">
        <v>1</v>
      </c>
      <c r="D23">
        <v>154</v>
      </c>
      <c r="E23">
        <v>0.89128974146280993</v>
      </c>
      <c r="F23">
        <v>0.86693864355047934</v>
      </c>
      <c r="G23">
        <v>2.2837564368042198</v>
      </c>
      <c r="H23">
        <v>9.7127976901929883E-2</v>
      </c>
    </row>
    <row r="24" spans="1:8" x14ac:dyDescent="0.35">
      <c r="A24" t="s">
        <v>22</v>
      </c>
      <c r="B24" t="s">
        <v>20</v>
      </c>
      <c r="C24">
        <v>2</v>
      </c>
      <c r="D24">
        <v>153</v>
      </c>
      <c r="E24">
        <v>0.88980415312190408</v>
      </c>
      <c r="F24">
        <v>0.86492121995588245</v>
      </c>
      <c r="G24">
        <v>2.2998560565305901</v>
      </c>
      <c r="H24">
        <v>2.2091748829304019E-2</v>
      </c>
    </row>
    <row r="25" spans="1:8" x14ac:dyDescent="0.35">
      <c r="A25" t="s">
        <v>22</v>
      </c>
      <c r="B25" t="s">
        <v>20</v>
      </c>
      <c r="C25">
        <v>3</v>
      </c>
      <c r="D25">
        <v>152</v>
      </c>
      <c r="E25">
        <v>0.88926247908140876</v>
      </c>
      <c r="F25">
        <v>0.86405393773408723</v>
      </c>
      <c r="G25">
        <v>2.305115261056331</v>
      </c>
      <c r="H25">
        <v>1.7526896119401981E-2</v>
      </c>
    </row>
    <row r="26" spans="1:8" x14ac:dyDescent="0.35">
      <c r="A26" t="s">
        <v>22</v>
      </c>
      <c r="B26" t="s">
        <v>20</v>
      </c>
      <c r="C26">
        <v>6</v>
      </c>
      <c r="D26">
        <v>149</v>
      </c>
      <c r="E26">
        <v>0.89129568860533048</v>
      </c>
      <c r="F26">
        <v>0.86593134927990756</v>
      </c>
      <c r="G26">
        <v>2.26581288347161</v>
      </c>
      <c r="H26">
        <v>2.511100078982597E-2</v>
      </c>
    </row>
    <row r="27" spans="1:8" x14ac:dyDescent="0.35">
      <c r="A27" t="s">
        <v>22</v>
      </c>
      <c r="B27" t="s">
        <v>21</v>
      </c>
      <c r="C27">
        <v>0</v>
      </c>
      <c r="D27">
        <v>120</v>
      </c>
      <c r="E27">
        <v>0.78916977372497044</v>
      </c>
      <c r="F27">
        <v>0.73309790503480299</v>
      </c>
      <c r="G27">
        <v>2.353205201593719</v>
      </c>
      <c r="H27">
        <v>1.6968157376404491E-4</v>
      </c>
    </row>
    <row r="28" spans="1:8" x14ac:dyDescent="0.35">
      <c r="A28" t="s">
        <v>22</v>
      </c>
      <c r="B28" t="s">
        <v>21</v>
      </c>
      <c r="C28">
        <v>1</v>
      </c>
      <c r="D28">
        <v>120</v>
      </c>
      <c r="E28">
        <v>0.79832611205481807</v>
      </c>
      <c r="F28">
        <v>0.74468943972897184</v>
      </c>
      <c r="G28">
        <v>2.361637493362553</v>
      </c>
      <c r="H28">
        <v>1.156542727901446E-4</v>
      </c>
    </row>
    <row r="29" spans="1:8" x14ac:dyDescent="0.35">
      <c r="A29" t="s">
        <v>22</v>
      </c>
      <c r="B29" t="s">
        <v>21</v>
      </c>
      <c r="C29">
        <v>2</v>
      </c>
      <c r="D29">
        <v>120</v>
      </c>
      <c r="E29">
        <v>0.78923845409297977</v>
      </c>
      <c r="F29">
        <v>0.73318485145813395</v>
      </c>
      <c r="G29">
        <v>2.33494571818833</v>
      </c>
      <c r="H29">
        <v>1.9616199853452729E-4</v>
      </c>
    </row>
    <row r="30" spans="1:8" x14ac:dyDescent="0.35">
      <c r="A30" t="s">
        <v>22</v>
      </c>
      <c r="B30" t="s">
        <v>21</v>
      </c>
      <c r="C30">
        <v>3</v>
      </c>
      <c r="D30">
        <v>120</v>
      </c>
      <c r="E30">
        <v>0.79633986787771738</v>
      </c>
      <c r="F30">
        <v>0.74217493912179111</v>
      </c>
      <c r="G30">
        <v>2.3417076429315191</v>
      </c>
      <c r="H30">
        <v>6.6909353430152311E-5</v>
      </c>
    </row>
    <row r="31" spans="1:8" x14ac:dyDescent="0.35">
      <c r="A31" t="s">
        <v>22</v>
      </c>
      <c r="B31" t="s">
        <v>21</v>
      </c>
      <c r="C31">
        <v>6</v>
      </c>
      <c r="D31">
        <v>120</v>
      </c>
      <c r="E31">
        <v>0.78896283242312393</v>
      </c>
      <c r="F31">
        <v>0.73283592615267823</v>
      </c>
      <c r="G31">
        <v>2.336669107069584</v>
      </c>
      <c r="H31">
        <v>2.185309353434284E-4</v>
      </c>
    </row>
    <row r="32" spans="1:8" x14ac:dyDescent="0.35">
      <c r="A32" t="s">
        <v>24</v>
      </c>
      <c r="B32" t="s">
        <v>18</v>
      </c>
      <c r="C32">
        <v>0</v>
      </c>
      <c r="D32">
        <v>275</v>
      </c>
      <c r="E32">
        <v>0.53824217921323592</v>
      </c>
      <c r="F32">
        <v>0.4638913436628247</v>
      </c>
      <c r="G32">
        <v>2.080158886793571</v>
      </c>
      <c r="H32">
        <v>0.13532820481802821</v>
      </c>
    </row>
    <row r="33" spans="1:8" x14ac:dyDescent="0.35">
      <c r="A33" t="s">
        <v>24</v>
      </c>
      <c r="B33" t="s">
        <v>18</v>
      </c>
      <c r="C33">
        <v>1</v>
      </c>
      <c r="D33">
        <v>274</v>
      </c>
      <c r="E33">
        <v>0.52556777815111066</v>
      </c>
      <c r="F33">
        <v>0.44885107844788602</v>
      </c>
      <c r="G33">
        <v>2.0641879181963878</v>
      </c>
      <c r="H33">
        <v>8.3468992230142397E-2</v>
      </c>
    </row>
    <row r="34" spans="1:8" x14ac:dyDescent="0.35">
      <c r="A34" t="s">
        <v>24</v>
      </c>
      <c r="B34" t="s">
        <v>18</v>
      </c>
      <c r="C34">
        <v>2</v>
      </c>
      <c r="D34">
        <v>273</v>
      </c>
      <c r="E34">
        <v>0.52315585718562518</v>
      </c>
      <c r="F34">
        <v>0.445719628865342</v>
      </c>
      <c r="G34">
        <v>2.058276109301973</v>
      </c>
      <c r="H34">
        <v>7.4326206296201652E-2</v>
      </c>
    </row>
    <row r="35" spans="1:8" x14ac:dyDescent="0.35">
      <c r="A35" t="s">
        <v>24</v>
      </c>
      <c r="B35" t="s">
        <v>18</v>
      </c>
      <c r="C35">
        <v>3</v>
      </c>
      <c r="D35">
        <v>272</v>
      </c>
      <c r="E35">
        <v>0.52458484435239483</v>
      </c>
      <c r="F35">
        <v>0.44704932540557513</v>
      </c>
      <c r="G35">
        <v>2.054141365915346</v>
      </c>
      <c r="H35">
        <v>8.6730629156419908E-2</v>
      </c>
    </row>
    <row r="36" spans="1:8" x14ac:dyDescent="0.35">
      <c r="A36" t="s">
        <v>24</v>
      </c>
      <c r="B36" t="s">
        <v>18</v>
      </c>
      <c r="C36">
        <v>6</v>
      </c>
      <c r="D36">
        <v>269</v>
      </c>
      <c r="E36">
        <v>0.52549837265238541</v>
      </c>
      <c r="F36">
        <v>0.44710245161234469</v>
      </c>
      <c r="G36">
        <v>2.0599264787457972</v>
      </c>
      <c r="H36">
        <v>9.1155041769872824E-2</v>
      </c>
    </row>
    <row r="37" spans="1:8" x14ac:dyDescent="0.35">
      <c r="A37" t="s">
        <v>24</v>
      </c>
      <c r="B37" t="s">
        <v>20</v>
      </c>
      <c r="C37">
        <v>0</v>
      </c>
      <c r="D37">
        <v>155</v>
      </c>
      <c r="E37">
        <v>0.5058733819256569</v>
      </c>
      <c r="F37">
        <v>0.39606746679802513</v>
      </c>
      <c r="G37">
        <v>2.1468055617687112</v>
      </c>
      <c r="H37">
        <v>0.40132527491047931</v>
      </c>
    </row>
    <row r="38" spans="1:8" x14ac:dyDescent="0.35">
      <c r="A38" t="s">
        <v>24</v>
      </c>
      <c r="B38" t="s">
        <v>20</v>
      </c>
      <c r="C38">
        <v>1</v>
      </c>
      <c r="D38">
        <v>154</v>
      </c>
      <c r="E38">
        <v>0.48543787468117822</v>
      </c>
      <c r="F38">
        <v>0.37017595860976199</v>
      </c>
      <c r="G38">
        <v>2.1657941091916961</v>
      </c>
      <c r="H38">
        <v>0.41601423105805652</v>
      </c>
    </row>
    <row r="39" spans="1:8" x14ac:dyDescent="0.35">
      <c r="A39" t="s">
        <v>24</v>
      </c>
      <c r="B39" t="s">
        <v>20</v>
      </c>
      <c r="C39">
        <v>2</v>
      </c>
      <c r="D39">
        <v>153</v>
      </c>
      <c r="E39">
        <v>0.47862111003664859</v>
      </c>
      <c r="F39">
        <v>0.36089039294815001</v>
      </c>
      <c r="G39">
        <v>2.1463241669026858</v>
      </c>
      <c r="H39">
        <v>0.38787855769607749</v>
      </c>
    </row>
    <row r="40" spans="1:8" x14ac:dyDescent="0.35">
      <c r="A40" t="s">
        <v>24</v>
      </c>
      <c r="B40" t="s">
        <v>20</v>
      </c>
      <c r="C40">
        <v>3</v>
      </c>
      <c r="D40">
        <v>152</v>
      </c>
      <c r="E40">
        <v>0.47855876673752967</v>
      </c>
      <c r="F40">
        <v>0.35985669737696752</v>
      </c>
      <c r="G40">
        <v>2.1461859016706168</v>
      </c>
      <c r="H40">
        <v>0.39115965269788588</v>
      </c>
    </row>
    <row r="41" spans="1:8" x14ac:dyDescent="0.35">
      <c r="A41" t="s">
        <v>24</v>
      </c>
      <c r="B41" t="s">
        <v>20</v>
      </c>
      <c r="C41">
        <v>6</v>
      </c>
      <c r="D41">
        <v>149</v>
      </c>
      <c r="E41">
        <v>0.48043166203869248</v>
      </c>
      <c r="F41">
        <v>0.35919904984772072</v>
      </c>
      <c r="G41">
        <v>2.139623060128963</v>
      </c>
      <c r="H41">
        <v>0.40858182388902259</v>
      </c>
    </row>
    <row r="42" spans="1:8" x14ac:dyDescent="0.35">
      <c r="A42" t="s">
        <v>24</v>
      </c>
      <c r="B42" t="s">
        <v>21</v>
      </c>
      <c r="C42">
        <v>0</v>
      </c>
      <c r="D42">
        <v>120</v>
      </c>
      <c r="E42">
        <v>0.62177011913293156</v>
      </c>
      <c r="F42">
        <v>0.52117706571083888</v>
      </c>
      <c r="G42">
        <v>1.994441350908349</v>
      </c>
      <c r="H42">
        <v>0.58708151834273914</v>
      </c>
    </row>
    <row r="43" spans="1:8" x14ac:dyDescent="0.35">
      <c r="A43" t="s">
        <v>24</v>
      </c>
      <c r="B43" t="s">
        <v>21</v>
      </c>
      <c r="C43">
        <v>1</v>
      </c>
      <c r="D43">
        <v>120</v>
      </c>
      <c r="E43">
        <v>0.6112742891014753</v>
      </c>
      <c r="F43">
        <v>0.50788979152208036</v>
      </c>
      <c r="G43">
        <v>1.9509730426074761</v>
      </c>
      <c r="H43">
        <v>0.47064576130050911</v>
      </c>
    </row>
    <row r="44" spans="1:8" x14ac:dyDescent="0.35">
      <c r="A44" t="s">
        <v>24</v>
      </c>
      <c r="B44" t="s">
        <v>21</v>
      </c>
      <c r="C44">
        <v>2</v>
      </c>
      <c r="D44">
        <v>120</v>
      </c>
      <c r="E44">
        <v>0.61061144598748218</v>
      </c>
      <c r="F44">
        <v>0.50705066034585511</v>
      </c>
      <c r="G44">
        <v>1.9429280646142451</v>
      </c>
      <c r="H44">
        <v>0.42726087191106671</v>
      </c>
    </row>
    <row r="45" spans="1:8" x14ac:dyDescent="0.35">
      <c r="A45" t="s">
        <v>24</v>
      </c>
      <c r="B45" t="s">
        <v>21</v>
      </c>
      <c r="C45">
        <v>3</v>
      </c>
      <c r="D45">
        <v>120</v>
      </c>
      <c r="E45">
        <v>0.62379819302252448</v>
      </c>
      <c r="F45">
        <v>0.523744520954047</v>
      </c>
      <c r="G45">
        <v>1.8961344839438281</v>
      </c>
      <c r="H45">
        <v>0.42995086500959301</v>
      </c>
    </row>
    <row r="46" spans="1:8" x14ac:dyDescent="0.35">
      <c r="A46" t="s">
        <v>24</v>
      </c>
      <c r="B46" t="s">
        <v>21</v>
      </c>
      <c r="C46">
        <v>6</v>
      </c>
      <c r="D46">
        <v>120</v>
      </c>
      <c r="E46">
        <v>0.61777184489922221</v>
      </c>
      <c r="F46">
        <v>0.51611542067029192</v>
      </c>
      <c r="G46">
        <v>1.946147348869075</v>
      </c>
      <c r="H46">
        <v>0.47214960301473102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All_regressions</vt:lpstr>
      <vt:lpstr>Beta1_pivot</vt:lpstr>
      <vt:lpstr>SE_pivot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Lok Yi</cp:lastModifiedBy>
  <dcterms:created xsi:type="dcterms:W3CDTF">2026-06-08T11:02:39Z</dcterms:created>
  <dcterms:modified xsi:type="dcterms:W3CDTF">2026-07-21T15:47:37Z</dcterms:modified>
</cp:coreProperties>
</file>